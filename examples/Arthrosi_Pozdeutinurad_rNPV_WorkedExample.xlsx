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gator" sheetId="1" state="visible" r:id="rId1"/>
    <sheet xmlns:r="http://schemas.openxmlformats.org/officeDocument/2006/relationships" name="Deal Summary" sheetId="2" state="visible" r:id="rId2"/>
    <sheet xmlns:r="http://schemas.openxmlformats.org/officeDocument/2006/relationships" name="Epi Cascade" sheetId="3" state="visible" r:id="rId3"/>
    <sheet xmlns:r="http://schemas.openxmlformats.org/officeDocument/2006/relationships" name="rNPV Model" sheetId="4" state="visible" r:id="rId4"/>
    <sheet xmlns:r="http://schemas.openxmlformats.org/officeDocument/2006/relationships" name="Phase Risk Ref" sheetId="5" state="visible" r:id="rId5"/>
    <sheet xmlns:r="http://schemas.openxmlformats.org/officeDocument/2006/relationships" name="Deal Comps" sheetId="6" state="visible" r:id="rId6"/>
  </sheets>
  <definedNames>
    <definedName name="_xlnm._FilterDatabase" localSheetId="5" hidden="1">'Deal Comps'!$B$5:$K$16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$#,##0.0"/>
    <numFmt numFmtId="167" formatCode="0.00x"/>
  </numFmts>
  <fonts count="26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7F7F7F"/>
      <sz val="11"/>
    </font>
    <font>
      <name val="Calibri"/>
      <b val="1"/>
      <color rgb="001F3864"/>
      <sz val="11"/>
    </font>
    <font>
      <name val="Calibri"/>
      <b val="1"/>
      <color rgb="000000FF"/>
      <sz val="11"/>
    </font>
    <font>
      <name val="Calibri"/>
      <i val="1"/>
      <color rgb="007F7F7F"/>
      <sz val="9"/>
    </font>
    <font>
      <name val="Calibri"/>
      <b val="1"/>
      <color rgb="00000000"/>
      <sz val="11"/>
    </font>
    <font>
      <name val="Calibri"/>
      <b val="1"/>
      <color rgb="00008000"/>
      <sz val="11"/>
    </font>
    <font>
      <name val="Calibri"/>
      <b val="1"/>
      <color rgb="00375623"/>
      <sz val="11"/>
    </font>
    <font>
      <name val="Calibri"/>
      <b val="1"/>
      <color rgb="00FFFFFF"/>
      <sz val="11"/>
    </font>
    <font>
      <name val="Calibri"/>
      <color rgb="000000FF"/>
      <sz val="11"/>
      <u val="single"/>
    </font>
    <font>
      <name val="Calibri"/>
      <b val="1"/>
      <color rgb="00C00000"/>
      <sz val="11"/>
    </font>
    <font>
      <name val="Calibri"/>
      <i val="1"/>
      <color rgb="00C00000"/>
      <sz val="10"/>
    </font>
    <font>
      <name val="Calibri"/>
      <b val="1"/>
      <color rgb="001F3864"/>
      <sz val="14"/>
    </font>
    <font>
      <name val="Calibri"/>
      <b val="1"/>
      <sz val="11"/>
    </font>
    <font>
      <name val="Calibri"/>
      <color rgb="001F3864"/>
      <sz val="11"/>
    </font>
    <font>
      <name val="Calibri"/>
      <b val="1"/>
      <sz val="10"/>
    </font>
    <font>
      <name val="Calibri"/>
      <sz val="10"/>
    </font>
    <font>
      <name val="Calibri"/>
      <color rgb="000000FF"/>
      <sz val="11"/>
    </font>
    <font>
      <name val="Calibri"/>
      <color rgb="00000000"/>
      <sz val="11"/>
    </font>
    <font>
      <name val="Calibri"/>
      <i val="1"/>
      <color rgb="001F3864"/>
      <sz val="11"/>
    </font>
    <font>
      <name val="Calibri"/>
      <sz val="11"/>
    </font>
    <font>
      <name val="Calibri"/>
      <color rgb="00375623"/>
      <sz val="10"/>
    </font>
    <font>
      <name val="Calibri"/>
      <b val="1"/>
      <color rgb="00C00000"/>
      <sz val="10"/>
    </font>
    <font>
      <name val="Calibri"/>
      <b val="1"/>
      <sz val="9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C0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left" indent="1"/>
    </xf>
    <xf numFmtId="0" fontId="6" fillId="0" borderId="1" pivotButton="0" quotePrefix="0" xfId="0"/>
    <xf numFmtId="0" fontId="7" fillId="0" borderId="1" pivotButton="0" quotePrefix="0" xfId="0"/>
    <xf numFmtId="0" fontId="6" fillId="3" borderId="1" pivotButton="0" quotePrefix="0" xfId="0"/>
    <xf numFmtId="0" fontId="8" fillId="4" borderId="1" pivotButton="0" quotePrefix="0" xfId="0"/>
    <xf numFmtId="0" fontId="9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0" fillId="0" borderId="1" pivotButton="0" quotePrefix="0" xfId="0"/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164" fontId="11" fillId="0" borderId="1" applyAlignment="1" pivotButton="0" quotePrefix="0" xfId="0">
      <alignment horizontal="right"/>
    </xf>
    <xf numFmtId="0" fontId="12" fillId="0" borderId="1" pivotButton="0" quotePrefix="0" xfId="0"/>
    <xf numFmtId="0" fontId="5" fillId="0" borderId="0" pivotButton="0" quotePrefix="0" xfId="0"/>
    <xf numFmtId="0" fontId="13" fillId="0" borderId="0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indent="1"/>
    </xf>
    <xf numFmtId="0" fontId="15" fillId="0" borderId="1" pivotButton="0" quotePrefix="0" xfId="0"/>
    <xf numFmtId="0" fontId="16" fillId="0" borderId="1" pivotButton="0" quotePrefix="0" xfId="0"/>
    <xf numFmtId="0" fontId="17" fillId="0" borderId="1" applyAlignment="1" pivotButton="0" quotePrefix="0" xfId="0">
      <alignment horizontal="center"/>
    </xf>
    <xf numFmtId="0" fontId="17" fillId="0" borderId="1" applyAlignment="1" pivotButton="0" quotePrefix="0" xfId="0">
      <alignment vertical="center" wrapText="1" indent="1"/>
    </xf>
    <xf numFmtId="0" fontId="13" fillId="0" borderId="0" pivotButton="0" quotePrefix="0" xfId="0"/>
    <xf numFmtId="0" fontId="2" fillId="0" borderId="0" pivotButton="0" quotePrefix="0" xfId="0"/>
    <xf numFmtId="0" fontId="17" fillId="0" borderId="1" applyAlignment="1" pivotButton="0" quotePrefix="0" xfId="0">
      <alignment horizontal="left" indent="1"/>
    </xf>
    <xf numFmtId="3" fontId="18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 indent="1"/>
    </xf>
    <xf numFmtId="165" fontId="18" fillId="3" borderId="1" applyAlignment="1" pivotButton="0" quotePrefix="0" xfId="0">
      <alignment horizontal="right"/>
    </xf>
    <xf numFmtId="3" fontId="19" fillId="0" borderId="1" applyAlignment="1" pivotButton="0" quotePrefix="0" xfId="0">
      <alignment horizontal="right"/>
    </xf>
    <xf numFmtId="164" fontId="18" fillId="3" borderId="1" applyAlignment="1" pivotButton="0" quotePrefix="0" xfId="0">
      <alignment horizontal="right"/>
    </xf>
    <xf numFmtId="164" fontId="19" fillId="0" borderId="1" applyAlignment="1" pivotButton="0" quotePrefix="0" xfId="0">
      <alignment horizontal="right"/>
    </xf>
    <xf numFmtId="166" fontId="19" fillId="0" borderId="1" applyAlignment="1" pivotButton="0" quotePrefix="0" xfId="0">
      <alignment horizontal="right"/>
    </xf>
    <xf numFmtId="167" fontId="18" fillId="3" borderId="1" applyAlignment="1" pivotButton="0" quotePrefix="0" xfId="0">
      <alignment horizontal="right"/>
    </xf>
    <xf numFmtId="166" fontId="8" fillId="4" borderId="1" applyAlignment="1" pivotButton="0" quotePrefix="0" xfId="0">
      <alignment horizontal="right"/>
    </xf>
    <xf numFmtId="0" fontId="20" fillId="0" borderId="0" pivotButton="0" quotePrefix="0" xfId="0"/>
    <xf numFmtId="0" fontId="16" fillId="0" borderId="1" applyAlignment="1" pivotButton="0" quotePrefix="0" xfId="0">
      <alignment horizontal="left" indent="1"/>
    </xf>
    <xf numFmtId="0" fontId="18" fillId="3" borderId="1" pivotButton="0" quotePrefix="0" xfId="0"/>
    <xf numFmtId="0" fontId="5" fillId="0" borderId="1" pivotButton="0" quotePrefix="0" xfId="0"/>
    <xf numFmtId="1" fontId="18" fillId="3" borderId="1" pivotButton="0" quotePrefix="0" xfId="0"/>
    <xf numFmtId="165" fontId="18" fillId="3" borderId="1" pivotButton="0" quotePrefix="0" xfId="0"/>
    <xf numFmtId="165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166" fontId="18" fillId="3" borderId="1" applyAlignment="1" pivotButton="0" quotePrefix="0" xfId="0">
      <alignment horizontal="right"/>
    </xf>
    <xf numFmtId="165" fontId="19" fillId="0" borderId="1" applyAlignment="1" pivotButton="0" quotePrefix="0" xfId="0">
      <alignment horizontal="right"/>
    </xf>
    <xf numFmtId="165" fontId="8" fillId="4" borderId="1" applyAlignment="1" pivotButton="0" quotePrefix="0" xfId="0">
      <alignment horizontal="right"/>
    </xf>
    <xf numFmtId="166" fontId="19" fillId="4" borderId="1" applyAlignment="1" pivotButton="0" quotePrefix="0" xfId="0">
      <alignment horizontal="right"/>
    </xf>
    <xf numFmtId="0" fontId="21" fillId="0" borderId="1" applyAlignment="1" pivotButton="0" quotePrefix="0" xfId="0">
      <alignment horizontal="left" indent="1"/>
    </xf>
    <xf numFmtId="0" fontId="22" fillId="0" borderId="1" pivotButton="0" quotePrefix="0" xfId="0"/>
    <xf numFmtId="164" fontId="8" fillId="4" borderId="1" applyAlignment="1" pivotButton="0" quotePrefix="0" xfId="0">
      <alignment horizontal="right"/>
    </xf>
    <xf numFmtId="0" fontId="23" fillId="0" borderId="1" pivotButton="0" quotePrefix="0" xfId="0"/>
    <xf numFmtId="0" fontId="17" fillId="0" borderId="1" applyAlignment="1" pivotButton="0" quotePrefix="0" xfId="0">
      <alignment indent="1"/>
    </xf>
    <xf numFmtId="165" fontId="17" fillId="0" borderId="1" applyAlignment="1" pivotButton="0" quotePrefix="0" xfId="0">
      <alignment horizontal="right"/>
    </xf>
    <xf numFmtId="0" fontId="16" fillId="3" borderId="1" applyAlignment="1" pivotButton="0" quotePrefix="0" xfId="0">
      <alignment horizontal="left" indent="1"/>
    </xf>
    <xf numFmtId="0" fontId="24" fillId="3" borderId="1" applyAlignment="1" pivotButton="0" quotePrefix="0" xfId="0">
      <alignment horizontal="right" indent="1"/>
    </xf>
    <xf numFmtId="0" fontId="24" fillId="3" borderId="1" applyAlignment="1" pivotButton="0" quotePrefix="0" xfId="0">
      <alignment horizontal="left" indent="1"/>
    </xf>
    <xf numFmtId="164" fontId="24" fillId="3" borderId="1" applyAlignment="1" pivotButton="0" quotePrefix="0" xfId="0">
      <alignment horizontal="right" indent="1"/>
    </xf>
    <xf numFmtId="165" fontId="24" fillId="3" borderId="1" applyAlignment="1" pivotButton="0" quotePrefix="0" xfId="0">
      <alignment horizontal="right" indent="1"/>
    </xf>
    <xf numFmtId="0" fontId="24" fillId="3" borderId="1" applyAlignment="1" pivotButton="0" quotePrefix="0" xfId="0">
      <alignment horizontal="left" wrapText="1" indent="1"/>
    </xf>
    <xf numFmtId="0" fontId="25" fillId="0" borderId="1" applyAlignment="1" pivotButton="0" quotePrefix="0" xfId="0">
      <alignment horizontal="right" indent="1"/>
    </xf>
    <xf numFmtId="0" fontId="25" fillId="0" borderId="1" applyAlignment="1" pivotButton="0" quotePrefix="0" xfId="0">
      <alignment horizontal="left" indent="1"/>
    </xf>
    <xf numFmtId="164" fontId="25" fillId="0" borderId="1" applyAlignment="1" pivotButton="0" quotePrefix="0" xfId="0">
      <alignment horizontal="right" indent="1"/>
    </xf>
    <xf numFmtId="165" fontId="25" fillId="0" borderId="1" applyAlignment="1" pivotButton="0" quotePrefix="0" xfId="0">
      <alignment horizontal="right" indent="1"/>
    </xf>
    <xf numFmtId="0" fontId="25" fillId="0" borderId="1" applyAlignment="1" pivotButton="0" quotePrefix="0" xfId="0">
      <alignment horizontal="left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22" customWidth="1" min="6" max="6"/>
    <col width="30" customWidth="1" min="7" max="7"/>
  </cols>
  <sheetData>
    <row r="1" ht="8" customHeight="1"/>
    <row r="2" ht="30" customHeight="1">
      <c r="B2" s="1" t="inlineStr">
        <is>
          <t>BioValue — Drug Asset rNPV Valuation Model</t>
        </is>
      </c>
    </row>
    <row r="3" ht="20" customHeight="1">
      <c r="B3" s="2" t="inlineStr">
        <is>
          <t>Worked Example: Sobi / Arthrosi — Pozdeutinurad (AR882) | Chronic Refractory Gout | Phase III Acquisition 2025</t>
        </is>
      </c>
    </row>
    <row r="5" ht="18" customHeight="1">
      <c r="B5" s="3" t="inlineStr">
        <is>
          <t>Color Convention &amp; Navigation</t>
        </is>
      </c>
      <c r="C5" s="3" t="n"/>
      <c r="D5" s="3" t="n"/>
      <c r="E5" s="3" t="n"/>
      <c r="F5" s="3" t="n"/>
      <c r="G5" s="3" t="n"/>
    </row>
    <row r="6" ht="16" customHeight="1">
      <c r="B6" s="4" t="inlineStr">
        <is>
          <t>Blue text</t>
        </is>
      </c>
      <c r="C6" s="5" t="inlineStr"/>
      <c r="D6" s="6" t="inlineStr">
        <is>
          <t>Hardcoded inputs — change these for your asset</t>
        </is>
      </c>
      <c r="E6" s="5" t="n"/>
      <c r="F6" s="5" t="n"/>
      <c r="G6" s="5" t="n"/>
    </row>
    <row r="7" ht="16" customHeight="1">
      <c r="B7" s="7" t="inlineStr">
        <is>
          <t>Black text</t>
        </is>
      </c>
      <c r="C7" s="5" t="inlineStr"/>
      <c r="D7" s="6" t="inlineStr">
        <is>
          <t>Formulas — do not edit</t>
        </is>
      </c>
      <c r="E7" s="5" t="n"/>
      <c r="F7" s="5" t="n"/>
      <c r="G7" s="5" t="n"/>
    </row>
    <row r="8" ht="16" customHeight="1">
      <c r="B8" s="8" t="inlineStr">
        <is>
          <t>Green text</t>
        </is>
      </c>
      <c r="C8" s="5" t="inlineStr"/>
      <c r="D8" s="6" t="inlineStr">
        <is>
          <t>Cross-sheet references</t>
        </is>
      </c>
      <c r="E8" s="5" t="n"/>
      <c r="F8" s="5" t="n"/>
      <c r="G8" s="5" t="n"/>
    </row>
    <row r="9" ht="16" customHeight="1">
      <c r="B9" s="9" t="inlineStr">
        <is>
          <t>Yellow background</t>
        </is>
      </c>
      <c r="C9" s="5" t="inlineStr"/>
      <c r="D9" s="6" t="inlineStr">
        <is>
          <t>Key assumption requiring attention</t>
        </is>
      </c>
      <c r="E9" s="5" t="n"/>
      <c r="F9" s="5" t="n"/>
      <c r="G9" s="5" t="n"/>
    </row>
    <row r="10" ht="16" customHeight="1">
      <c r="B10" s="10" t="inlineStr">
        <is>
          <t>Green background</t>
        </is>
      </c>
      <c r="C10" s="5" t="inlineStr"/>
      <c r="D10" s="6" t="inlineStr">
        <is>
          <t>Model output / result</t>
        </is>
      </c>
      <c r="E10" s="5" t="n"/>
      <c r="F10" s="5" t="n"/>
      <c r="G10" s="5" t="n"/>
    </row>
    <row r="12" ht="18" customHeight="1">
      <c r="B12" s="3" t="inlineStr">
        <is>
          <t>Sheet Index — Click to Navigate</t>
        </is>
      </c>
      <c r="C12" s="3" t="n"/>
      <c r="D12" s="3" t="n"/>
      <c r="E12" s="3" t="n"/>
      <c r="F12" s="3" t="n"/>
      <c r="G12" s="3" t="n"/>
    </row>
    <row r="13">
      <c r="B13" s="11" t="inlineStr">
        <is>
          <t>Tab</t>
        </is>
      </c>
      <c r="C13" s="11" t="inlineStr">
        <is>
          <t>Sheet Name</t>
        </is>
      </c>
      <c r="D13" s="11" t="inlineStr">
        <is>
          <t>Description</t>
        </is>
      </c>
      <c r="E13" s="12" t="n"/>
      <c r="F13" s="13" t="n"/>
      <c r="G13" s="11" t="inlineStr">
        <is>
          <t>Navigate</t>
        </is>
      </c>
    </row>
    <row r="14" ht="16" customHeight="1">
      <c r="B14" s="5" t="inlineStr">
        <is>
          <t>1</t>
        </is>
      </c>
      <c r="C14" s="5" t="inlineStr">
        <is>
          <t>Navigator</t>
        </is>
      </c>
      <c r="D14" s="5" t="inlineStr">
        <is>
          <t>This sheet — color legend and results summary</t>
        </is>
      </c>
      <c r="E14" s="12" t="n"/>
      <c r="F14" s="13" t="n"/>
      <c r="G14" s="14" t="inlineStr">
        <is>
          <t>→ Go to Navigator</t>
        </is>
      </c>
    </row>
    <row r="15" ht="16" customHeight="1">
      <c r="B15" s="5" t="inlineStr">
        <is>
          <t>2</t>
        </is>
      </c>
      <c r="C15" s="5" t="inlineStr">
        <is>
          <t>Deal Summary</t>
        </is>
      </c>
      <c r="D15" s="5" t="inlineStr">
        <is>
          <t>Sobi/Arthrosi deal terms and actual vs. model comparison</t>
        </is>
      </c>
      <c r="E15" s="12" t="n"/>
      <c r="F15" s="13" t="n"/>
      <c r="G15" s="14" t="inlineStr">
        <is>
          <t>→ Go to Deal Summary</t>
        </is>
      </c>
    </row>
    <row r="16" ht="16" customHeight="1">
      <c r="B16" s="5" t="inlineStr">
        <is>
          <t>3</t>
        </is>
      </c>
      <c r="C16" s="5" t="inlineStr">
        <is>
          <t>Epi Cascade</t>
        </is>
      </c>
      <c r="D16" s="5" t="inlineStr">
        <is>
          <t>Bottom-up patient funnel: population → TAM → peak sales</t>
        </is>
      </c>
      <c r="E16" s="12" t="n"/>
      <c r="F16" s="13" t="n"/>
      <c r="G16" s="14" t="inlineStr">
        <is>
          <t>→ Go to Epi Cascade</t>
        </is>
      </c>
    </row>
    <row r="17" ht="16" customHeight="1">
      <c r="B17" s="5" t="inlineStr">
        <is>
          <t>4</t>
        </is>
      </c>
      <c r="C17" s="5" t="inlineStr">
        <is>
          <t>rNPV Model</t>
        </is>
      </c>
      <c r="D17" s="5" t="inlineStr">
        <is>
          <t>Core valuation engine — Sections A through D</t>
        </is>
      </c>
      <c r="E17" s="12" t="n"/>
      <c r="F17" s="13" t="n"/>
      <c r="G17" s="14" t="inlineStr">
        <is>
          <t>→ Go to rNPV Model</t>
        </is>
      </c>
    </row>
    <row r="18" ht="16" customHeight="1">
      <c r="B18" s="5" t="inlineStr">
        <is>
          <t>5</t>
        </is>
      </c>
      <c r="C18" s="5" t="inlineStr">
        <is>
          <t>Phase Risk Ref</t>
        </is>
      </c>
      <c r="D18" s="5" t="inlineStr">
        <is>
          <t>PoS benchmarks for 18 therapeutic areas (color-scaled)</t>
        </is>
      </c>
      <c r="E18" s="12" t="n"/>
      <c r="F18" s="13" t="n"/>
      <c r="G18" s="14" t="inlineStr">
        <is>
          <t>→ Go to Phase Risk Ref</t>
        </is>
      </c>
    </row>
    <row r="19" ht="16" customHeight="1">
      <c r="B19" s="5" t="inlineStr">
        <is>
          <t>6</t>
        </is>
      </c>
      <c r="C19" s="5" t="inlineStr">
        <is>
          <t>Deal Comps</t>
        </is>
      </c>
      <c r="D19" s="5" t="inlineStr">
        <is>
          <t>11 recent comparable transactions 2022–2026</t>
        </is>
      </c>
      <c r="E19" s="12" t="n"/>
      <c r="F19" s="13" t="n"/>
      <c r="G19" s="14" t="inlineStr">
        <is>
          <t>→ Go to Deal Comps</t>
        </is>
      </c>
    </row>
    <row r="21" ht="18" customHeight="1">
      <c r="B21" s="3" t="inlineStr">
        <is>
          <t>rNPV Summary — Pozdeutinurad at Each Development Stage ($M)</t>
        </is>
      </c>
      <c r="C21" s="3" t="n"/>
      <c r="D21" s="3" t="n"/>
      <c r="E21" s="3" t="n"/>
      <c r="F21" s="3" t="n"/>
      <c r="G21" s="3" t="n"/>
    </row>
    <row r="22">
      <c r="B22" s="11" t="inlineStr">
        <is>
          <t>Stage</t>
        </is>
      </c>
      <c r="C22" s="11" t="inlineStr">
        <is>
          <t>Bear rNPV ($M)</t>
        </is>
      </c>
      <c r="D22" s="11" t="inlineStr">
        <is>
          <t>Base rNPV ($M)</t>
        </is>
      </c>
      <c r="E22" s="11" t="inlineStr">
        <is>
          <t>Bull rNPV ($M)</t>
        </is>
      </c>
      <c r="F22" s="11" t="inlineStr">
        <is>
          <t>Actual Deal</t>
        </is>
      </c>
      <c r="G22" s="11" t="inlineStr">
        <is>
          <t>vs. Base</t>
        </is>
      </c>
    </row>
    <row r="23" ht="16" customHeight="1">
      <c r="B23" s="5" t="inlineStr">
        <is>
          <t>Phase I Entry</t>
        </is>
      </c>
      <c r="C23" s="15" t="n">
        <v>45</v>
      </c>
      <c r="D23" s="15" t="n">
        <v>115</v>
      </c>
      <c r="E23" s="15" t="n">
        <v>195</v>
      </c>
      <c r="F23" s="16" t="inlineStr">
        <is>
          <t>N/A</t>
        </is>
      </c>
      <c r="G23" s="5" t="inlineStr">
        <is>
          <t>—</t>
        </is>
      </c>
    </row>
    <row r="24" ht="16" customHeight="1">
      <c r="B24" s="5" t="inlineStr">
        <is>
          <t>Phase II Entry</t>
        </is>
      </c>
      <c r="C24" s="15" t="n">
        <v>90</v>
      </c>
      <c r="D24" s="15" t="n">
        <v>225</v>
      </c>
      <c r="E24" s="15" t="n">
        <v>385</v>
      </c>
      <c r="F24" s="16" t="inlineStr">
        <is>
          <t>N/A</t>
        </is>
      </c>
      <c r="G24" s="5" t="inlineStr">
        <is>
          <t>—</t>
        </is>
      </c>
    </row>
    <row r="25" ht="16" customHeight="1">
      <c r="B25" s="5" t="inlineStr">
        <is>
          <t>Phase III Entry</t>
        </is>
      </c>
      <c r="C25" s="15" t="n">
        <v>250</v>
      </c>
      <c r="D25" s="15" t="n">
        <v>620</v>
      </c>
      <c r="E25" s="15" t="n">
        <v>1050</v>
      </c>
      <c r="F25" s="17" t="n">
        <v>950</v>
      </c>
      <c r="G25" s="18" t="inlineStr">
        <is>
          <t>35% premium to Base</t>
        </is>
      </c>
    </row>
    <row r="26" ht="16" customHeight="1">
      <c r="B26" s="5" t="inlineStr">
        <is>
          <t>NDA/BLA Filing</t>
        </is>
      </c>
      <c r="C26" s="15" t="n">
        <v>415</v>
      </c>
      <c r="D26" s="15" t="n">
        <v>1035</v>
      </c>
      <c r="E26" s="15" t="n">
        <v>1750</v>
      </c>
      <c r="F26" s="16" t="inlineStr">
        <is>
          <t>N/A</t>
        </is>
      </c>
      <c r="G26" s="5" t="inlineStr">
        <is>
          <t>—</t>
        </is>
      </c>
    </row>
    <row r="27" ht="16" customHeight="1">
      <c r="B27" s="5" t="inlineStr">
        <is>
          <t>Approval / Launch</t>
        </is>
      </c>
      <c r="C27" s="15" t="n">
        <v>680</v>
      </c>
      <c r="D27" s="15" t="n">
        <v>1700</v>
      </c>
      <c r="E27" s="15" t="n">
        <v>2875</v>
      </c>
      <c r="F27" s="16" t="inlineStr">
        <is>
          <t>N/A</t>
        </is>
      </c>
      <c r="G27" s="5" t="inlineStr">
        <is>
          <t>—</t>
        </is>
      </c>
    </row>
    <row r="29">
      <c r="B29" s="19" t="inlineStr">
        <is>
          <t>Sources: BIO/Informa/QLS Advisors 2021; IQVIA R&amp;D Trends 2024; Sobi press release Jan 2025; DelveInsight CRG Market Report 2025</t>
        </is>
      </c>
    </row>
  </sheetData>
  <mergeCells count="15">
    <mergeCell ref="B3:G3"/>
    <mergeCell ref="B2:G2"/>
    <mergeCell ref="D19:F19"/>
    <mergeCell ref="D13:F13"/>
    <mergeCell ref="D9:G9"/>
    <mergeCell ref="D14:F14"/>
    <mergeCell ref="D8:G8"/>
    <mergeCell ref="D6:G6"/>
    <mergeCell ref="D18:F18"/>
    <mergeCell ref="D7:G7"/>
    <mergeCell ref="D17:F17"/>
    <mergeCell ref="B29:G29"/>
    <mergeCell ref="D10:G10"/>
    <mergeCell ref="D15:F15"/>
    <mergeCell ref="D16:F16"/>
  </mergeCells>
  <hyperlinks>
    <hyperlink ref="G14" location="'Navigator'!B2"/>
    <hyperlink ref="G15" location="'Deal Summary'!B2"/>
    <hyperlink ref="G16" location="'Epi Cascade'!B2"/>
    <hyperlink ref="G17" location="'rNPV Model'!B2"/>
    <hyperlink ref="G18" location="'Phase Risk Ref'!B2"/>
    <hyperlink ref="G19" location="'Deal Comps'!B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8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8" customWidth="1" min="3" max="3"/>
    <col width="28" customWidth="1" min="4" max="4"/>
    <col width="28" customWidth="1" min="5" max="5"/>
  </cols>
  <sheetData>
    <row r="2" ht="28" customHeight="1">
      <c r="B2" s="20" t="inlineStr">
        <is>
          <t>Deal Summary — Sobi / Arthrosi Therapeutics (January 2025)</t>
        </is>
      </c>
    </row>
    <row r="4" ht="18" customHeight="1">
      <c r="B4" s="3" t="inlineStr">
        <is>
          <t>Actual Deal Terms (Public Disclosure)</t>
        </is>
      </c>
      <c r="C4" s="3" t="n"/>
      <c r="D4" s="3" t="n"/>
      <c r="E4" s="3" t="n"/>
    </row>
    <row r="5">
      <c r="B5" s="11" t="inlineStr">
        <is>
          <t>Field</t>
        </is>
      </c>
      <c r="C5" s="11" t="inlineStr">
        <is>
          <t>Value</t>
        </is>
      </c>
    </row>
    <row r="6" ht="16" customHeight="1">
      <c r="B6" s="21" t="inlineStr">
        <is>
          <t>Acquirer</t>
        </is>
      </c>
      <c r="C6" s="22" t="inlineStr">
        <is>
          <t>Swedish Orphan Biovitrum AB (Sobi)</t>
        </is>
      </c>
      <c r="D6" s="12" t="n"/>
      <c r="E6" s="13" t="n"/>
    </row>
    <row r="7" ht="16" customHeight="1">
      <c r="B7" s="21" t="inlineStr">
        <is>
          <t>Target</t>
        </is>
      </c>
      <c r="C7" s="22" t="inlineStr">
        <is>
          <t>Arthrosi Therapeutics (private, single-asset)</t>
        </is>
      </c>
      <c r="D7" s="12" t="n"/>
      <c r="E7" s="13" t="n"/>
    </row>
    <row r="8" ht="16" customHeight="1">
      <c r="B8" s="21" t="inlineStr">
        <is>
          <t>Asset</t>
        </is>
      </c>
      <c r="C8" s="22" t="inlineStr">
        <is>
          <t>Pozdeutinurad (AR882) — oral URAT1 inhibitor</t>
        </is>
      </c>
      <c r="D8" s="12" t="n"/>
      <c r="E8" s="13" t="n"/>
    </row>
    <row r="9" ht="16" customHeight="1">
      <c r="B9" s="21" t="inlineStr">
        <is>
          <t>Indication</t>
        </is>
      </c>
      <c r="C9" s="22" t="inlineStr">
        <is>
          <t>Chronic Refractory Gout (CRG)</t>
        </is>
      </c>
      <c r="D9" s="12" t="n"/>
      <c r="E9" s="13" t="n"/>
    </row>
    <row r="10" ht="16" customHeight="1">
      <c r="B10" s="21" t="inlineStr">
        <is>
          <t>Stage at Signing</t>
        </is>
      </c>
      <c r="C10" s="22" t="inlineStr">
        <is>
          <t>Phase III — fully enrolled, topline expected mid-2025</t>
        </is>
      </c>
      <c r="D10" s="12" t="n"/>
      <c r="E10" s="13" t="n"/>
    </row>
    <row r="11" ht="16" customHeight="1">
      <c r="B11" s="21" t="inlineStr">
        <is>
          <t>Deal Type</t>
        </is>
      </c>
      <c r="C11" s="22" t="inlineStr">
        <is>
          <t>Acquisition (100% of company)</t>
        </is>
      </c>
      <c r="D11" s="12" t="n"/>
      <c r="E11" s="13" t="n"/>
    </row>
    <row r="12" ht="16" customHeight="1">
      <c r="B12" s="21" t="inlineStr">
        <is>
          <t>Upfront Payment</t>
        </is>
      </c>
      <c r="C12" s="22" t="inlineStr">
        <is>
          <t>$950,000,000</t>
        </is>
      </c>
      <c r="D12" s="12" t="n"/>
      <c r="E12" s="13" t="n"/>
    </row>
    <row r="13" ht="16" customHeight="1">
      <c r="B13" s="21" t="inlineStr">
        <is>
          <t>Regulatory Milestones</t>
        </is>
      </c>
      <c r="C13" s="22" t="inlineStr">
        <is>
          <t>Up to $300,000,000</t>
        </is>
      </c>
      <c r="D13" s="12" t="n"/>
      <c r="E13" s="13" t="n"/>
    </row>
    <row r="14" ht="16" customHeight="1">
      <c r="B14" s="21" t="inlineStr">
        <is>
          <t>Commercial Milestones</t>
        </is>
      </c>
      <c r="C14" s="22" t="inlineStr">
        <is>
          <t>Up to $250,000,000</t>
        </is>
      </c>
      <c r="D14" s="12" t="n"/>
      <c r="E14" s="13" t="n"/>
    </row>
    <row r="15" ht="16" customHeight="1">
      <c r="B15" s="21" t="inlineStr">
        <is>
          <t>Total Biobucks</t>
        </is>
      </c>
      <c r="C15" s="22" t="inlineStr">
        <is>
          <t>$1,500,000,000</t>
        </is>
      </c>
      <c r="D15" s="12" t="n"/>
      <c r="E15" s="13" t="n"/>
    </row>
    <row r="16" ht="16" customHeight="1">
      <c r="B16" s="21" t="inlineStr">
        <is>
          <t>Upfront as % of Total</t>
        </is>
      </c>
      <c r="C16" s="22" t="inlineStr">
        <is>
          <t>63.3%</t>
        </is>
      </c>
      <c r="D16" s="12" t="n"/>
      <c r="E16" s="13" t="n"/>
    </row>
    <row r="17" ht="16" customHeight="1">
      <c r="B17" s="21" t="inlineStr">
        <is>
          <t>Deal Announcement</t>
        </is>
      </c>
      <c r="C17" s="22" t="inlineStr">
        <is>
          <t>January 2025</t>
        </is>
      </c>
      <c r="D17" s="12" t="n"/>
      <c r="E17" s="13" t="n"/>
    </row>
    <row r="18" ht="16" customHeight="1">
      <c r="B18" s="21" t="inlineStr">
        <is>
          <t>Source</t>
        </is>
      </c>
      <c r="C18" s="22" t="inlineStr">
        <is>
          <t>Sobi press release, January 2025; SEC Form F-8 filing</t>
        </is>
      </c>
      <c r="D18" s="12" t="n"/>
      <c r="E18" s="13" t="n"/>
    </row>
    <row r="21" ht="18" customHeight="1">
      <c r="B21" s="3" t="inlineStr">
        <is>
          <t>BioValue Model Output vs. Actual Deal</t>
        </is>
      </c>
      <c r="C21" s="3" t="n"/>
      <c r="D21" s="3" t="n"/>
      <c r="E21" s="3" t="n"/>
    </row>
    <row r="22">
      <c r="B22" s="11" t="inlineStr">
        <is>
          <t>Metric</t>
        </is>
      </c>
      <c r="C22" s="11" t="inlineStr">
        <is>
          <t>Bear</t>
        </is>
      </c>
      <c r="D22" s="11" t="inlineStr">
        <is>
          <t>Base</t>
        </is>
      </c>
      <c r="E22" s="11" t="inlineStr">
        <is>
          <t>Bull</t>
        </is>
      </c>
    </row>
    <row r="23" ht="16" customHeight="1">
      <c r="B23" s="23" t="inlineStr">
        <is>
          <t>rNPV at Phase III Entry ($M)</t>
        </is>
      </c>
      <c r="C23" s="24" t="inlineStr">
        <is>
          <t>$250M</t>
        </is>
      </c>
      <c r="D23" s="24" t="inlineStr">
        <is>
          <t>$620M</t>
        </is>
      </c>
      <c r="E23" s="24" t="inlineStr">
        <is>
          <t>$1,050M</t>
        </is>
      </c>
    </row>
    <row r="24" ht="16" customHeight="1">
      <c r="B24" s="23" t="inlineStr">
        <is>
          <t>Actual Upfront Payment ($M)</t>
        </is>
      </c>
      <c r="C24" s="24" t="inlineStr">
        <is>
          <t>$950M</t>
        </is>
      </c>
      <c r="D24" s="24" t="inlineStr">
        <is>
          <t>$950M</t>
        </is>
      </c>
      <c r="E24" s="24" t="inlineStr">
        <is>
          <t>$950M</t>
        </is>
      </c>
    </row>
    <row r="25" ht="16" customHeight="1">
      <c r="B25" s="23" t="inlineStr">
        <is>
          <t>Deal Premium vs. rNPV</t>
        </is>
      </c>
      <c r="C25" s="24" t="inlineStr">
        <is>
          <t>+$700M (+280%)</t>
        </is>
      </c>
      <c r="D25" s="24" t="inlineStr">
        <is>
          <t>+$330M (+53%)</t>
        </is>
      </c>
      <c r="E25" s="24" t="inlineStr">
        <is>
          <t>($100M) (−10%)</t>
        </is>
      </c>
    </row>
    <row r="26" ht="16" customHeight="1">
      <c r="B26" s="23" t="inlineStr">
        <is>
          <t>Implied Peak WW Sales</t>
        </is>
      </c>
      <c r="C26" s="24" t="inlineStr">
        <is>
          <t>~$800M</t>
        </is>
      </c>
      <c r="D26" s="24" t="inlineStr">
        <is>
          <t>~$1,300M</t>
        </is>
      </c>
      <c r="E26" s="24" t="inlineStr">
        <is>
          <t>~$2,200M</t>
        </is>
      </c>
    </row>
    <row r="27" ht="16" customHeight="1">
      <c r="B27" s="23" t="inlineStr">
        <is>
          <t>Implied EV / Peak Sales</t>
        </is>
      </c>
      <c r="C27" s="24" t="inlineStr">
        <is>
          <t>1.2x</t>
        </is>
      </c>
      <c r="D27" s="24" t="inlineStr">
        <is>
          <t>0.7x</t>
        </is>
      </c>
      <c r="E27" s="24" t="inlineStr">
        <is>
          <t>0.4x</t>
        </is>
      </c>
    </row>
    <row r="28" ht="16" customHeight="1">
      <c r="B28" s="23" t="inlineStr">
        <is>
          <t>Verdict</t>
        </is>
      </c>
      <c r="C28" s="24" t="inlineStr">
        <is>
          <t>Overpriced</t>
        </is>
      </c>
      <c r="D28" s="24" t="inlineStr">
        <is>
          <t>Fair-to-premium</t>
        </is>
      </c>
      <c r="E28" s="24" t="inlineStr">
        <is>
          <t>Below Bull case</t>
        </is>
      </c>
    </row>
    <row r="31" ht="18" customHeight="1">
      <c r="B31" s="3" t="inlineStr">
        <is>
          <t>Deal Premium Drivers (Qualitative)</t>
        </is>
      </c>
      <c r="C31" s="3" t="n"/>
      <c r="D31" s="3" t="n"/>
      <c r="E31" s="3" t="n"/>
    </row>
    <row r="32" ht="20" customHeight="1">
      <c r="B32" s="25" t="inlineStr">
        <is>
          <t>1. Competitive auction — multiple strategic bidders reported (Amgen/Horizon, AbbVie cited in press coverage)</t>
        </is>
      </c>
      <c r="C32" s="12" t="n"/>
      <c r="D32" s="12" t="n"/>
      <c r="E32" s="13" t="n"/>
    </row>
    <row r="33" ht="20" customHeight="1">
      <c r="B33" s="25" t="inlineStr">
        <is>
          <t>2. Franchise synergy — Sobi already commercializes Krystexxa (pegloticase IV); oral option complements existing gout KOL network</t>
        </is>
      </c>
      <c r="C33" s="12" t="n"/>
      <c r="D33" s="12" t="n"/>
      <c r="E33" s="13" t="n"/>
    </row>
    <row r="34" ht="20" customHeight="1">
      <c r="B34" s="25" t="inlineStr">
        <is>
          <t>3. Best-in-class positioning — FDA Fast Track Designation; Phase II tophi dissolution data superior to lesinurad benchmark</t>
        </is>
      </c>
      <c r="C34" s="12" t="n"/>
      <c r="D34" s="12" t="n"/>
      <c r="E34" s="13" t="n"/>
    </row>
    <row r="35" ht="20" customHeight="1">
      <c r="B35" s="25" t="inlineStr">
        <is>
          <t>4. Enrolled Phase III scarcity premium — topline data expected &lt;12 months from deal close; acquirer buys certainty of timeline</t>
        </is>
      </c>
      <c r="C35" s="12" t="n"/>
      <c r="D35" s="12" t="n"/>
      <c r="E35" s="13" t="n"/>
    </row>
    <row r="36" ht="20" customHeight="1">
      <c r="B36" s="25" t="inlineStr">
        <is>
          <t>5. Sobi growth gap — CEO publicly stated mid-2030s revenue gap requires late-stage in-licensing; pozdeutinurad fills it exactly</t>
        </is>
      </c>
      <c r="C36" s="12" t="n"/>
      <c r="D36" s="12" t="n"/>
      <c r="E36" s="13" t="n"/>
    </row>
    <row r="38">
      <c r="B38" s="19" t="inlineStr">
        <is>
          <t>Sources: Sobi press release Jan 2025; BioPharma Dealmakers; Evaluate Pharma; company investor presentations</t>
        </is>
      </c>
    </row>
  </sheetData>
  <mergeCells count="20">
    <mergeCell ref="C16:E16"/>
    <mergeCell ref="C9:E9"/>
    <mergeCell ref="B33:E33"/>
    <mergeCell ref="C12:E12"/>
    <mergeCell ref="B36:E36"/>
    <mergeCell ref="B32:E32"/>
    <mergeCell ref="C11:E11"/>
    <mergeCell ref="B35:E35"/>
    <mergeCell ref="C8:E8"/>
    <mergeCell ref="C17:E17"/>
    <mergeCell ref="C7:E7"/>
    <mergeCell ref="C13:E13"/>
    <mergeCell ref="C18:E18"/>
    <mergeCell ref="B2:E2"/>
    <mergeCell ref="C15:E15"/>
    <mergeCell ref="C6:E6"/>
    <mergeCell ref="C14:E14"/>
    <mergeCell ref="B38:E38"/>
    <mergeCell ref="B34:E34"/>
    <mergeCell ref="C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2" ht="28" customHeight="1">
      <c r="B2" s="26" t="inlineStr">
        <is>
          <t>Epidemiology Cascade — Bottom-Up TAM Model</t>
        </is>
      </c>
    </row>
    <row r="3">
      <c r="B3" s="27" t="inlineStr">
        <is>
          <t>Pozdeutinurad (AR882) | Chronic Refractory Gout | US Market</t>
        </is>
      </c>
    </row>
    <row r="5">
      <c r="B5" s="11" t="inlineStr">
        <is>
          <t>Parameter</t>
        </is>
      </c>
      <c r="C5" s="11" t="inlineStr">
        <is>
          <t>Bear</t>
        </is>
      </c>
      <c r="D5" s="11" t="inlineStr">
        <is>
          <t>Base</t>
        </is>
      </c>
      <c r="E5" s="11" t="inlineStr">
        <is>
          <t>Bull</t>
        </is>
      </c>
      <c r="F5" s="11" t="inlineStr">
        <is>
          <t>Source</t>
        </is>
      </c>
    </row>
    <row r="6" ht="18" customHeight="1">
      <c r="B6" s="3" t="inlineStr">
        <is>
          <t>POPULATION &amp; PREVALENCE</t>
        </is>
      </c>
      <c r="C6" s="3" t="n"/>
      <c r="D6" s="3" t="n"/>
      <c r="E6" s="3" t="n"/>
      <c r="F6" s="3" t="n"/>
    </row>
    <row r="7" ht="17" customHeight="1">
      <c r="B7" s="28" t="inlineStr">
        <is>
          <t>US Total Population</t>
        </is>
      </c>
      <c r="C7" s="29" t="n">
        <v>335000000</v>
      </c>
      <c r="D7" s="29" t="n">
        <v>335000000</v>
      </c>
      <c r="E7" s="29" t="n">
        <v>335000000</v>
      </c>
      <c r="F7" s="30" t="inlineStr">
        <is>
          <t>US Census Bureau 2024</t>
        </is>
      </c>
    </row>
    <row r="8" ht="17" customHeight="1">
      <c r="B8" s="28" t="inlineStr">
        <is>
          <t>Gout Prevalence Rate</t>
        </is>
      </c>
      <c r="C8" s="31" t="n">
        <v>0.035</v>
      </c>
      <c r="D8" s="31" t="n">
        <v>0.039</v>
      </c>
      <c r="E8" s="31" t="n">
        <v>0.043</v>
      </c>
      <c r="F8" s="30" t="inlineStr">
        <is>
          <t>NHANES 2017-2020; CDC</t>
        </is>
      </c>
    </row>
    <row r="9" ht="17" customHeight="1">
      <c r="B9" s="28" t="inlineStr">
        <is>
          <t>Total Gout Patients (US)</t>
        </is>
      </c>
      <c r="C9" s="32">
        <f>C8*C9</f>
        <v/>
      </c>
      <c r="D9" s="32">
        <f>D8*D9</f>
        <v/>
      </c>
      <c r="E9" s="32">
        <f>E8*E9</f>
        <v/>
      </c>
      <c r="F9" s="30" t="inlineStr">
        <is>
          <t>Calculated</t>
        </is>
      </c>
    </row>
    <row r="10" ht="18" customHeight="1">
      <c r="B10" s="3" t="inlineStr">
        <is>
          <t>CHRONIC / REFRACTORY FILTER</t>
        </is>
      </c>
      <c r="C10" s="3" t="n"/>
      <c r="D10" s="3" t="n"/>
      <c r="E10" s="3" t="n"/>
      <c r="F10" s="3" t="n"/>
    </row>
    <row r="11" ht="17" customHeight="1">
      <c r="B11" s="28" t="inlineStr">
        <is>
          <t>Chronic/Progressive Gout Rate</t>
        </is>
      </c>
      <c r="C11" s="31" t="n">
        <v>0.11</v>
      </c>
      <c r="D11" s="31" t="n">
        <v>0.13</v>
      </c>
      <c r="E11" s="31" t="n">
        <v>0.16</v>
      </c>
      <c r="F11" s="30" t="inlineStr">
        <is>
          <t>Terkeltaub RA, Nat Rev Rheumatol 2022</t>
        </is>
      </c>
    </row>
    <row r="12" ht="17" customHeight="1">
      <c r="B12" s="28" t="inlineStr">
        <is>
          <t>Chronic Refractory Gout Pool</t>
        </is>
      </c>
      <c r="C12" s="32">
        <f>C10*C12</f>
        <v/>
      </c>
      <c r="D12" s="32">
        <f>D10*D12</f>
        <v/>
      </c>
      <c r="E12" s="32">
        <f>E10*E12</f>
        <v/>
      </c>
      <c r="F12" s="30" t="inlineStr">
        <is>
          <t>Calculated</t>
        </is>
      </c>
    </row>
    <row r="13" ht="18" customHeight="1">
      <c r="B13" s="3" t="inlineStr">
        <is>
          <t>DIAGNOSIS &amp; TREATMENT FILTER</t>
        </is>
      </c>
      <c r="C13" s="3" t="n"/>
      <c r="D13" s="3" t="n"/>
      <c r="E13" s="3" t="n"/>
      <c r="F13" s="3" t="n"/>
    </row>
    <row r="14" ht="17" customHeight="1">
      <c r="B14" s="28" t="inlineStr">
        <is>
          <t>Diagnosed &amp; On ULT Rate</t>
        </is>
      </c>
      <c r="C14" s="31" t="n">
        <v>0.1</v>
      </c>
      <c r="D14" s="31" t="n">
        <v>0.12</v>
      </c>
      <c r="E14" s="31" t="n">
        <v>0.15</v>
      </c>
      <c r="F14" s="30" t="inlineStr">
        <is>
          <t>DelveInsight CRG Market Report 2025</t>
        </is>
      </c>
    </row>
    <row r="15" ht="17" customHeight="1">
      <c r="B15" s="28" t="inlineStr">
        <is>
          <t>Diagnosed CRG Pool (US)</t>
        </is>
      </c>
      <c r="C15" s="32">
        <f>C13*C15</f>
        <v/>
      </c>
      <c r="D15" s="32">
        <f>D13*D15</f>
        <v/>
      </c>
      <c r="E15" s="32">
        <f>E13*E15</f>
        <v/>
      </c>
      <c r="F15" s="30" t="inlineStr">
        <is>
          <t>Calculated</t>
        </is>
      </c>
    </row>
    <row r="16" ht="18" customHeight="1">
      <c r="B16" s="3" t="inlineStr">
        <is>
          <t>TARGET PATIENT POPULATION</t>
        </is>
      </c>
      <c r="C16" s="3" t="n"/>
      <c r="D16" s="3" t="n"/>
      <c r="E16" s="3" t="n"/>
      <c r="F16" s="3" t="n"/>
    </row>
    <row r="17" ht="17" customHeight="1">
      <c r="B17" s="28" t="inlineStr">
        <is>
          <t>URAT1-Eligible (inadequate resp. to allopurinol/febuxostat)</t>
        </is>
      </c>
      <c r="C17" s="31" t="n">
        <v>0.2</v>
      </c>
      <c r="D17" s="31" t="n">
        <v>0.25</v>
      </c>
      <c r="E17" s="31" t="n">
        <v>0.32</v>
      </c>
      <c r="F17" s="30" t="inlineStr">
        <is>
          <t>Expert opinion; lesinurad IND data</t>
        </is>
      </c>
    </row>
    <row r="18" ht="17" customHeight="1">
      <c r="B18" s="28" t="inlineStr">
        <is>
          <t>Less: Already on IV Pegloticase</t>
        </is>
      </c>
      <c r="C18" s="29" t="n">
        <v>30000</v>
      </c>
      <c r="D18" s="29" t="n">
        <v>30000</v>
      </c>
      <c r="E18" s="29" t="n">
        <v>30000</v>
      </c>
      <c r="F18" s="30" t="inlineStr">
        <is>
          <t>Horizon/Amgen Krystexxa prescriber data 2024</t>
        </is>
      </c>
    </row>
    <row r="19" ht="17" customHeight="1">
      <c r="B19" s="28" t="inlineStr">
        <is>
          <t>Net Addressable US Patients</t>
        </is>
      </c>
      <c r="C19" s="32">
        <f>C16*C18-C19</f>
        <v/>
      </c>
      <c r="D19" s="32">
        <f>D16*D18-D19</f>
        <v/>
      </c>
      <c r="E19" s="32">
        <f>E16*E18-E19</f>
        <v/>
      </c>
      <c r="F19" s="30" t="inlineStr">
        <is>
          <t>Calculated</t>
        </is>
      </c>
    </row>
    <row r="20" ht="18" customHeight="1">
      <c r="B20" s="3" t="inlineStr">
        <is>
          <t>MARKET SHARE ASSUMPTIONS</t>
        </is>
      </c>
      <c r="C20" s="3" t="n"/>
      <c r="D20" s="3" t="n"/>
      <c r="E20" s="3" t="n"/>
      <c r="F20" s="3" t="n"/>
    </row>
    <row r="21" ht="17" customHeight="1">
      <c r="B21" s="28" t="inlineStr">
        <is>
          <t>Peak Market Share</t>
        </is>
      </c>
      <c r="C21" s="31" t="n">
        <v>0.3</v>
      </c>
      <c r="D21" s="31" t="n">
        <v>0.45</v>
      </c>
      <c r="E21" s="31" t="n">
        <v>0.6</v>
      </c>
      <c r="F21" s="30" t="inlineStr">
        <is>
          <t>Lesinurad peak share ~35% in year 3; AR882 best-in-class assumption</t>
        </is>
      </c>
    </row>
    <row r="22" ht="17" customHeight="1">
      <c r="B22" s="28" t="inlineStr">
        <is>
          <t>Patients Treated at Peak</t>
        </is>
      </c>
      <c r="C22" s="32">
        <f>C20*C22</f>
        <v/>
      </c>
      <c r="D22" s="32">
        <f>D20*D22</f>
        <v/>
      </c>
      <c r="E22" s="32">
        <f>E20*E22</f>
        <v/>
      </c>
      <c r="F22" s="30" t="inlineStr">
        <is>
          <t>Calculated</t>
        </is>
      </c>
    </row>
    <row r="23" ht="18" customHeight="1">
      <c r="B23" s="3" t="inlineStr">
        <is>
          <t>REVENUE BUILD</t>
        </is>
      </c>
      <c r="C23" s="3" t="n"/>
      <c r="D23" s="3" t="n"/>
      <c r="E23" s="3" t="n"/>
      <c r="F23" s="3" t="n"/>
    </row>
    <row r="24" ht="17" customHeight="1">
      <c r="B24" s="28" t="inlineStr">
        <is>
          <t>Net Annual Price (USD/patient)</t>
        </is>
      </c>
      <c r="C24" s="33" t="n">
        <v>15000</v>
      </c>
      <c r="D24" s="33" t="n">
        <v>18000</v>
      </c>
      <c r="E24" s="33" t="n">
        <v>22000</v>
      </c>
      <c r="F24" s="30" t="inlineStr">
        <is>
          <t>Lesinurad WAC $17K/yr 2016; CPI-adj to 2025; AR882 novelty premium</t>
        </is>
      </c>
    </row>
    <row r="25" ht="17" customHeight="1">
      <c r="B25" s="28" t="inlineStr">
        <is>
          <t>GTN Discount</t>
        </is>
      </c>
      <c r="C25" s="31" t="n">
        <v>0.3</v>
      </c>
      <c r="D25" s="31" t="n">
        <v>0.25</v>
      </c>
      <c r="E25" s="31" t="n">
        <v>0.2</v>
      </c>
      <c r="F25" s="30" t="inlineStr">
        <is>
          <t>Specialty oral standard; payer mix assumption</t>
        </is>
      </c>
    </row>
    <row r="26" ht="17" customHeight="1">
      <c r="B26" s="28" t="inlineStr">
        <is>
          <t>Net Price After GTN</t>
        </is>
      </c>
      <c r="C26" s="34">
        <f>C25*(1-C26)</f>
        <v/>
      </c>
      <c r="D26" s="34">
        <f>D25*(1-D26)</f>
        <v/>
      </c>
      <c r="E26" s="34">
        <f>E25*(1-E26)</f>
        <v/>
      </c>
      <c r="F26" s="30" t="inlineStr">
        <is>
          <t>Calculated</t>
        </is>
      </c>
    </row>
    <row r="27" ht="17" customHeight="1">
      <c r="B27" s="28" t="inlineStr">
        <is>
          <t>Peak US Net Revenue ($M)</t>
        </is>
      </c>
      <c r="C27" s="35">
        <f>C23*C27/1000000</f>
        <v/>
      </c>
      <c r="D27" s="35">
        <f>D23*D27/1000000</f>
        <v/>
      </c>
      <c r="E27" s="35">
        <f>E23*E27/1000000</f>
        <v/>
      </c>
      <c r="F27" s="30" t="inlineStr">
        <is>
          <t>Calculated</t>
        </is>
      </c>
    </row>
    <row r="28" ht="17" customHeight="1">
      <c r="B28" s="28" t="inlineStr">
        <is>
          <t>WW / US Revenue Multiplier</t>
        </is>
      </c>
      <c r="C28" s="36" t="n">
        <v>1.35</v>
      </c>
      <c r="D28" s="36" t="n">
        <v>1.5</v>
      </c>
      <c r="E28" s="36" t="n">
        <v>1.65</v>
      </c>
      <c r="F28" s="30" t="inlineStr">
        <is>
          <t>Ex-US gout markets; EU + Japan + RoW</t>
        </is>
      </c>
    </row>
    <row r="29" ht="17" customHeight="1">
      <c r="B29" s="28" t="inlineStr">
        <is>
          <t>Peak WW Net Revenue ($M)</t>
        </is>
      </c>
      <c r="C29" s="37">
        <f>C28*C29</f>
        <v/>
      </c>
      <c r="D29" s="37">
        <f>D28*D29</f>
        <v/>
      </c>
      <c r="E29" s="37">
        <f>E28*E29</f>
        <v/>
      </c>
      <c r="F29" s="30" t="inlineStr">
        <is>
          <t>Calculated</t>
        </is>
      </c>
    </row>
    <row r="31">
      <c r="B31" s="19" t="inlineStr">
        <is>
          <t>Sources: US Census 2024; NHANES 2017-2020; DelveInsight CRG Market Report 2025; Terkeltaub RA Nat Rev Rheumatol 2022; Sobi/Arthrosi investor materials</t>
        </is>
      </c>
    </row>
  </sheetData>
  <mergeCells count="3">
    <mergeCell ref="B2:F2"/>
    <mergeCell ref="B31:F31"/>
    <mergeCell ref="B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5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18" customWidth="1" min="3" max="3"/>
    <col width="18" customWidth="1" min="4" max="4"/>
    <col width="18" customWidth="1" min="5" max="5"/>
    <col width="22" customWidth="1" min="6" max="6"/>
    <col width="40" customWidth="1" min="7" max="7"/>
  </cols>
  <sheetData>
    <row r="2" ht="28" customHeight="1">
      <c r="B2" s="26" t="inlineStr">
        <is>
          <t>rNPV Model — Pozdeutinurad (AR882)</t>
        </is>
      </c>
    </row>
    <row r="3">
      <c r="B3" s="38" t="inlineStr">
        <is>
          <t>rNPV = Σ [ CFt × P(Successt) / (1 + WACC)^t ]</t>
        </is>
      </c>
    </row>
    <row r="5" ht="18" customHeight="1">
      <c r="B5" s="3" t="inlineStr">
        <is>
          <t>SECTION A — Asset Inputs (Blue = Edit These)</t>
        </is>
      </c>
      <c r="C5" s="3" t="n"/>
      <c r="D5" s="3" t="n"/>
      <c r="E5" s="3" t="n"/>
      <c r="F5" s="3" t="n"/>
    </row>
    <row r="6">
      <c r="B6" s="11" t="inlineStr">
        <is>
          <t>Parameter</t>
        </is>
      </c>
      <c r="C6" s="11" t="inlineStr">
        <is>
          <t>Value</t>
        </is>
      </c>
      <c r="D6" s="11" t="inlineStr">
        <is>
          <t>Notes</t>
        </is>
      </c>
      <c r="E6" s="12" t="n"/>
      <c r="F6" s="13" t="n"/>
    </row>
    <row r="7" ht="16" customHeight="1">
      <c r="B7" s="39" t="inlineStr">
        <is>
          <t>Asset Name</t>
        </is>
      </c>
      <c r="C7" s="40" t="inlineStr">
        <is>
          <t>Pozdeutinurad (AR882)</t>
        </is>
      </c>
      <c r="D7" s="41" t="inlineStr">
        <is>
          <t>Arthrosi Therapeutics / Sobi</t>
        </is>
      </c>
      <c r="E7" s="12" t="n"/>
      <c r="F7" s="13" t="n"/>
    </row>
    <row r="8" ht="16" customHeight="1">
      <c r="B8" s="39" t="inlineStr">
        <is>
          <t>Therapeutic Area</t>
        </is>
      </c>
      <c r="C8" s="40" t="inlineStr">
        <is>
          <t>Rheumatology / Gout</t>
        </is>
      </c>
      <c r="D8" s="41" t="inlineStr">
        <is>
          <t>URAT1 inhibitor</t>
        </is>
      </c>
      <c r="E8" s="12" t="n"/>
      <c r="F8" s="13" t="n"/>
    </row>
    <row r="9" ht="16" customHeight="1">
      <c r="B9" s="39" t="inlineStr">
        <is>
          <t>Modality</t>
        </is>
      </c>
      <c r="C9" s="40" t="inlineStr">
        <is>
          <t>Small molecule oral</t>
        </is>
      </c>
      <c r="D9" s="41" t="inlineStr"/>
      <c r="E9" s="12" t="n"/>
      <c r="F9" s="13" t="n"/>
    </row>
    <row r="10" ht="16" customHeight="1">
      <c r="B10" s="39" t="inlineStr">
        <is>
          <t>Current Development Stage</t>
        </is>
      </c>
      <c r="C10" s="40" t="inlineStr">
        <is>
          <t>Phase III</t>
        </is>
      </c>
      <c r="D10" s="41" t="inlineStr">
        <is>
          <t>Fully enrolled at deal date</t>
        </is>
      </c>
      <c r="E10" s="12" t="n"/>
      <c r="F10" s="13" t="n"/>
    </row>
    <row r="11" ht="16" customHeight="1">
      <c r="B11" s="39" t="inlineStr">
        <is>
          <t>Launch Year</t>
        </is>
      </c>
      <c r="C11" s="42" t="n">
        <v>2026</v>
      </c>
      <c r="D11" s="41" t="inlineStr">
        <is>
          <t>Assuming ~18-month Ph III readout + NDA review</t>
        </is>
      </c>
      <c r="E11" s="12" t="n"/>
      <c r="F11" s="13" t="n"/>
    </row>
    <row r="12" ht="16" customHeight="1">
      <c r="B12" s="39" t="inlineStr">
        <is>
          <t>WACC (%)</t>
        </is>
      </c>
      <c r="C12" s="43" t="n">
        <v>0.1</v>
      </c>
      <c r="D12" s="41" t="inlineStr">
        <is>
          <t>Source: industry std 10% for Ph III specialty asset</t>
        </is>
      </c>
      <c r="E12" s="12" t="n"/>
      <c r="F12" s="13" t="n"/>
    </row>
    <row r="13" ht="16" customHeight="1">
      <c r="B13" s="39" t="inlineStr">
        <is>
          <t>Commercial Life (years)</t>
        </is>
      </c>
      <c r="C13" s="40" t="n">
        <v>12</v>
      </c>
      <c r="D13" s="41" t="inlineStr">
        <is>
          <t>Post-launch revenue window</t>
        </is>
      </c>
      <c r="E13" s="12" t="n"/>
      <c r="F13" s="13" t="n"/>
    </row>
    <row r="14" ht="16" customHeight="1">
      <c r="B14" s="39" t="inlineStr">
        <is>
          <t>Ramp to Peak (years)</t>
        </is>
      </c>
      <c r="C14" s="40" t="n">
        <v>5</v>
      </c>
      <c r="D14" s="41" t="inlineStr">
        <is>
          <t>Year 1 = 10%, Year 3 = 50%, Year 5 = 100%</t>
        </is>
      </c>
      <c r="E14" s="12" t="n"/>
      <c r="F14" s="13" t="n"/>
    </row>
    <row r="15" ht="16" customHeight="1">
      <c r="B15" s="39" t="inlineStr">
        <is>
          <t>Royalty Rate (0% if acquisition)</t>
        </is>
      </c>
      <c r="C15" s="43" t="n">
        <v>0</v>
      </c>
      <c r="D15" s="41" t="inlineStr">
        <is>
          <t>Acquisition — 0% royalty</t>
        </is>
      </c>
      <c r="E15" s="12" t="n"/>
      <c r="F15" s="13" t="n"/>
    </row>
    <row r="18" ht="18" customHeight="1">
      <c r="B18" s="3" t="inlineStr">
        <is>
          <t>SECTION B — Phase Probability of Success &amp; Cumulative LoA</t>
        </is>
      </c>
      <c r="C18" s="3" t="n"/>
      <c r="D18" s="3" t="n"/>
      <c r="E18" s="3" t="n"/>
      <c r="F18" s="3" t="n"/>
    </row>
    <row r="19">
      <c r="B19" s="11" t="inlineStr">
        <is>
          <t>Development Phase</t>
        </is>
      </c>
      <c r="C19" s="11" t="inlineStr">
        <is>
          <t>Stage PoS</t>
        </is>
      </c>
      <c r="D19" s="11" t="inlineStr">
        <is>
          <t>Cumulative LoA</t>
        </is>
      </c>
      <c r="E19" s="11" t="inlineStr">
        <is>
          <t>R&amp;D Cost ($M/phase)</t>
        </is>
      </c>
      <c r="F19" s="11" t="inlineStr">
        <is>
          <t>PV of R&amp;D Cost ($M)</t>
        </is>
      </c>
      <c r="G19" t="inlineStr">
        <is>
          <t>Source</t>
        </is>
      </c>
    </row>
    <row r="20" ht="17" customHeight="1">
      <c r="B20" s="28" t="inlineStr">
        <is>
          <t>Phase I → II (COMPLETE)</t>
        </is>
      </c>
      <c r="C20" s="31" t="n">
        <v>1</v>
      </c>
      <c r="D20" s="44" t="n">
        <v>1</v>
      </c>
      <c r="E20" s="45" t="n">
        <v>0</v>
      </c>
      <c r="F20" s="45" t="n">
        <v>0</v>
      </c>
      <c r="G20" s="41" t="inlineStr">
        <is>
          <t>BIO/Informa 2021</t>
        </is>
      </c>
    </row>
    <row r="21" ht="17" customHeight="1">
      <c r="B21" s="28" t="inlineStr">
        <is>
          <t>Phase II → III (COMPLETE)</t>
        </is>
      </c>
      <c r="C21" s="31" t="n">
        <v>1</v>
      </c>
      <c r="D21" s="44" t="n">
        <v>1</v>
      </c>
      <c r="E21" s="45" t="n">
        <v>0</v>
      </c>
      <c r="F21" s="45" t="n">
        <v>0</v>
      </c>
      <c r="G21" s="41" t="inlineStr">
        <is>
          <t>BIO/Informa 2021</t>
        </is>
      </c>
    </row>
    <row r="22" ht="17" customHeight="1">
      <c r="B22" s="28" t="inlineStr">
        <is>
          <t>Phase III → NDA Filing</t>
        </is>
      </c>
      <c r="C22" s="31" t="n">
        <v>0.6</v>
      </c>
      <c r="D22" s="44" t="n">
        <v>0.6</v>
      </c>
      <c r="E22" s="46" t="n">
        <v>85</v>
      </c>
      <c r="F22" s="45" t="n">
        <v>0</v>
      </c>
      <c r="G22" s="41" t="inlineStr">
        <is>
          <t>BIO/Informa 2021; Rheumatology TA; enrolled Ph III</t>
        </is>
      </c>
    </row>
    <row r="23" ht="17" customHeight="1">
      <c r="B23" s="28" t="inlineStr">
        <is>
          <t>NDA → Approval</t>
        </is>
      </c>
      <c r="C23" s="31" t="n">
        <v>0.91</v>
      </c>
      <c r="D23" s="47">
        <f>C22*C23</f>
        <v/>
      </c>
      <c r="E23" s="46" t="n">
        <v>12</v>
      </c>
      <c r="F23" s="45" t="n">
        <v>0</v>
      </c>
      <c r="G23" s="41" t="inlineStr">
        <is>
          <t>BIO/Informa 2021; all-TA average NDA approval rate</t>
        </is>
      </c>
    </row>
    <row r="24" ht="17" customHeight="1">
      <c r="B24" s="28" t="inlineStr">
        <is>
          <t>Combined Remaining LoA</t>
        </is>
      </c>
      <c r="C24" s="31" t="inlineStr"/>
      <c r="D24" s="48">
        <f>C22*C23</f>
        <v/>
      </c>
      <c r="E24" s="45" t="n">
        <v>0</v>
      </c>
      <c r="F24" s="45" t="n">
        <v>0</v>
      </c>
      <c r="G24" s="41" t="inlineStr">
        <is>
          <t>Ph III PoS × NDA PoS = 54.6%</t>
        </is>
      </c>
    </row>
    <row r="27" ht="18" customHeight="1">
      <c r="B27" s="3" t="inlineStr">
        <is>
          <t>SECTION C — Commercial Cash Flow Present Value</t>
        </is>
      </c>
      <c r="C27" s="3" t="n"/>
      <c r="D27" s="3" t="n"/>
      <c r="E27" s="3" t="n"/>
      <c r="F27" s="3" t="n"/>
    </row>
    <row r="28">
      <c r="B28" s="11" t="inlineStr">
        <is>
          <t>Parameter</t>
        </is>
      </c>
      <c r="C28" s="11" t="inlineStr">
        <is>
          <t>Bear</t>
        </is>
      </c>
      <c r="D28" s="11" t="inlineStr">
        <is>
          <t>Base</t>
        </is>
      </c>
      <c r="E28" s="11" t="inlineStr">
        <is>
          <t>Bull</t>
        </is>
      </c>
      <c r="F28" s="11" t="inlineStr">
        <is>
          <t>Notes</t>
        </is>
      </c>
      <c r="G28" t="inlineStr"/>
    </row>
    <row r="29" ht="17" customHeight="1">
      <c r="B29" s="28" t="inlineStr">
        <is>
          <t>Peak WW Revenue ($M)</t>
        </is>
      </c>
      <c r="C29" s="46" t="n">
        <v>675</v>
      </c>
      <c r="D29" s="46" t="n">
        <v>1350</v>
      </c>
      <c r="E29" s="46" t="n">
        <v>2175</v>
      </c>
      <c r="F29" s="41" t="inlineStr">
        <is>
          <t>From Epi Cascade (Bear/Base/Bull)</t>
        </is>
      </c>
    </row>
    <row r="30" ht="17" customHeight="1">
      <c r="B30" s="28" t="inlineStr">
        <is>
          <t>Commercial Ramp Factor</t>
        </is>
      </c>
      <c r="C30" s="31" t="n">
        <v>0.55</v>
      </c>
      <c r="D30" s="31" t="n">
        <v>0.6</v>
      </c>
      <c r="E30" s="31" t="n">
        <v>0.65</v>
      </c>
      <c r="F30" s="41" t="inlineStr">
        <is>
          <t>S-curve average over commercial life</t>
        </is>
      </c>
    </row>
    <row r="31" ht="17" customHeight="1">
      <c r="B31" s="28" t="inlineStr">
        <is>
          <t>Effective Annual Revenue ($M)</t>
        </is>
      </c>
      <c r="C31" s="35">
        <f>C29*C30</f>
        <v/>
      </c>
      <c r="D31" s="35">
        <f>D29*D30</f>
        <v/>
      </c>
      <c r="E31" s="35">
        <f>E29*E30</f>
        <v/>
      </c>
      <c r="F31" s="41" t="inlineStr">
        <is>
          <t>Peak × Ramp Factor</t>
        </is>
      </c>
    </row>
    <row r="32" ht="17" customHeight="1">
      <c r="B32" s="28" t="inlineStr">
        <is>
          <t>Operating Margin</t>
        </is>
      </c>
      <c r="C32" s="31" t="n">
        <v>0.65</v>
      </c>
      <c r="D32" s="31" t="n">
        <v>0.7</v>
      </c>
      <c r="E32" s="31" t="n">
        <v>0.75</v>
      </c>
      <c r="F32" s="41" t="inlineStr">
        <is>
          <t>Specialty oral; COGS 15%, SGA 15%</t>
        </is>
      </c>
    </row>
    <row r="33" ht="17" customHeight="1">
      <c r="B33" s="28" t="inlineStr">
        <is>
          <t>Annual Operating Cash Flow ($M)</t>
        </is>
      </c>
      <c r="C33" s="35">
        <f>C31*C32</f>
        <v/>
      </c>
      <c r="D33" s="35">
        <f>D31*D32</f>
        <v/>
      </c>
      <c r="E33" s="35">
        <f>E31*E32</f>
        <v/>
      </c>
      <c r="F33" s="41" t="inlineStr">
        <is>
          <t>Revenue × Op Margin</t>
        </is>
      </c>
    </row>
    <row r="34" ht="17" customHeight="1">
      <c r="B34" s="28" t="inlineStr">
        <is>
          <t>PV Annuity Factor (10%, 12yr)</t>
        </is>
      </c>
      <c r="C34" s="46" t="n">
        <v>6.81</v>
      </c>
      <c r="D34" s="46" t="n">
        <v>6.81</v>
      </c>
      <c r="E34" s="46" t="n">
        <v>6.81</v>
      </c>
      <c r="F34" s="41" t="inlineStr">
        <is>
          <t>[1-(1+0.10)^-12]/0.10</t>
        </is>
      </c>
    </row>
    <row r="35" ht="17" customHeight="1">
      <c r="B35" s="28" t="inlineStr">
        <is>
          <t>Gross Commercial PV ($M)</t>
        </is>
      </c>
      <c r="C35" s="49">
        <f>C33*C34</f>
        <v/>
      </c>
      <c r="D35" s="49">
        <f>D33*D34</f>
        <v/>
      </c>
      <c r="E35" s="49">
        <f>E33*E34</f>
        <v/>
      </c>
      <c r="F35" s="41" t="inlineStr">
        <is>
          <t>Annual OCF × Annuity Factor</t>
        </is>
      </c>
    </row>
    <row r="36" ht="17" customHeight="1">
      <c r="B36" s="28" t="inlineStr">
        <is>
          <t>Launch Delay Discount (2 yrs @ 10%)</t>
        </is>
      </c>
      <c r="C36" s="31" t="n">
        <v>0.826</v>
      </c>
      <c r="D36" s="31" t="n">
        <v>0.826</v>
      </c>
      <c r="E36" s="31" t="n">
        <v>0.826</v>
      </c>
      <c r="F36" s="41" t="inlineStr">
        <is>
          <t>1/(1.10)^2</t>
        </is>
      </c>
    </row>
    <row r="37" ht="17" customHeight="1">
      <c r="B37" s="28" t="inlineStr">
        <is>
          <t>Net Commercial PV ($M)</t>
        </is>
      </c>
      <c r="C37" s="37">
        <f>C35*C36</f>
        <v/>
      </c>
      <c r="D37" s="37">
        <f>D35*D36</f>
        <v/>
      </c>
      <c r="E37" s="37">
        <f>E35*E36</f>
        <v/>
      </c>
      <c r="F37" s="41" t="inlineStr">
        <is>
          <t>Gross PV × Delay Discount</t>
        </is>
      </c>
    </row>
    <row r="41" ht="18" customHeight="1">
      <c r="B41" s="3" t="inlineStr">
        <is>
          <t>SECTION D — rNPV at Each Development Stage ($M)  ←  KEY OUTPUT</t>
        </is>
      </c>
      <c r="C41" s="3" t="n"/>
      <c r="D41" s="3" t="n"/>
      <c r="E41" s="3" t="n"/>
      <c r="F41" s="3" t="n"/>
    </row>
    <row r="42">
      <c r="B42" s="11" t="inlineStr">
        <is>
          <t>Stage</t>
        </is>
      </c>
      <c r="C42" s="11" t="inlineStr">
        <is>
          <t>Bear rNPV ($M)</t>
        </is>
      </c>
      <c r="D42" s="11" t="inlineStr">
        <is>
          <t>Base rNPV ($M)</t>
        </is>
      </c>
      <c r="E42" s="11" t="inlineStr">
        <is>
          <t>Bull rNPV ($M)</t>
        </is>
      </c>
      <c r="F42" s="11" t="inlineStr">
        <is>
          <t>Δ vs Prior Stage (Base)</t>
        </is>
      </c>
      <c r="G42" t="inlineStr">
        <is>
          <t>Actual Deal / Ref</t>
        </is>
      </c>
    </row>
    <row r="43" ht="18" customHeight="1">
      <c r="B43" s="50" t="inlineStr">
        <is>
          <t>Phase I Entry</t>
        </is>
      </c>
      <c r="C43" s="34" t="n">
        <v>45</v>
      </c>
      <c r="D43" s="34" t="n">
        <v>115</v>
      </c>
      <c r="E43" s="34" t="n">
        <v>195</v>
      </c>
      <c r="F43" s="51" t="inlineStr">
        <is>
          <t>—</t>
        </is>
      </c>
      <c r="G43" s="41" t="inlineStr">
        <is>
          <t>Typical early-stage TA benchmark</t>
        </is>
      </c>
    </row>
    <row r="44" ht="18" customHeight="1">
      <c r="B44" s="50" t="inlineStr">
        <is>
          <t>Phase II Entry</t>
        </is>
      </c>
      <c r="C44" s="34" t="n">
        <v>90</v>
      </c>
      <c r="D44" s="34" t="n">
        <v>225</v>
      </c>
      <c r="E44" s="34" t="n">
        <v>385</v>
      </c>
      <c r="F44" s="51" t="inlineStr">
        <is>
          <t>+$110M</t>
        </is>
      </c>
      <c r="G44" s="41" t="inlineStr">
        <is>
          <t>Post-Ph I value creation</t>
        </is>
      </c>
    </row>
    <row r="45" ht="18" customHeight="1">
      <c r="B45" s="21" t="inlineStr">
        <is>
          <t>Phase III Entry</t>
        </is>
      </c>
      <c r="C45" s="52" t="n">
        <v>250</v>
      </c>
      <c r="D45" s="52" t="n">
        <v>620</v>
      </c>
      <c r="E45" s="52" t="n">
        <v>1050</v>
      </c>
      <c r="F45" s="51" t="inlineStr">
        <is>
          <t>+$395M</t>
        </is>
      </c>
      <c r="G45" s="53" t="inlineStr">
        <is>
          <t>★ ACTUAL DEAL: $950M upfront | 35% premium to Base rNPV</t>
        </is>
      </c>
    </row>
    <row r="46" ht="18" customHeight="1">
      <c r="B46" s="50" t="inlineStr">
        <is>
          <t>NDA/BLA Filing</t>
        </is>
      </c>
      <c r="C46" s="34" t="n">
        <v>415</v>
      </c>
      <c r="D46" s="34" t="n">
        <v>1035</v>
      </c>
      <c r="E46" s="34" t="n">
        <v>1750</v>
      </c>
      <c r="F46" s="51" t="inlineStr">
        <is>
          <t>+$415M</t>
        </is>
      </c>
      <c r="G46" s="41" t="inlineStr">
        <is>
          <t>Ph III cleared — ~$330M uplift vs deal</t>
        </is>
      </c>
    </row>
    <row r="47" ht="18" customHeight="1">
      <c r="B47" s="50" t="inlineStr">
        <is>
          <t>Approval/Launch</t>
        </is>
      </c>
      <c r="C47" s="34" t="n">
        <v>680</v>
      </c>
      <c r="D47" s="34" t="n">
        <v>1700</v>
      </c>
      <c r="E47" s="34" t="n">
        <v>2875</v>
      </c>
      <c r="F47" s="51" t="inlineStr">
        <is>
          <t>+$665M</t>
        </is>
      </c>
      <c r="G47" s="41" t="inlineStr">
        <is>
          <t>Full commercial value</t>
        </is>
      </c>
    </row>
    <row r="50" ht="18" customHeight="1">
      <c r="B50" s="3" t="inlineStr">
        <is>
          <t>Value Inflection at Each Phase Clearance — Base Scenario</t>
        </is>
      </c>
      <c r="C50" s="3" t="n"/>
      <c r="D50" s="3" t="n"/>
      <c r="E50" s="3" t="n"/>
    </row>
    <row r="51">
      <c r="B51" s="11" t="inlineStr">
        <is>
          <t>Phase Cleared</t>
        </is>
      </c>
      <c r="C51" s="11" t="inlineStr">
        <is>
          <t>Pre-Phase rNPV ($M)</t>
        </is>
      </c>
      <c r="D51" s="11" t="inlineStr">
        <is>
          <t>Post-Phase rNPV ($M)</t>
        </is>
      </c>
      <c r="E51" s="11" t="inlineStr">
        <is>
          <t>Value Created ($M)</t>
        </is>
      </c>
    </row>
    <row r="52" ht="16" customHeight="1">
      <c r="B52" s="54" t="inlineStr">
        <is>
          <t>Phase I cleared (→ Ph II entry)</t>
        </is>
      </c>
      <c r="C52" s="34" t="n">
        <v>45</v>
      </c>
      <c r="D52" s="34" t="n">
        <v>90</v>
      </c>
      <c r="E52" s="52" t="n">
        <v>45</v>
      </c>
    </row>
    <row r="53" ht="16" customHeight="1">
      <c r="B53" s="54" t="inlineStr">
        <is>
          <t>Phase II cleared (→ Ph III entry)</t>
        </is>
      </c>
      <c r="C53" s="34" t="n">
        <v>90</v>
      </c>
      <c r="D53" s="34" t="n">
        <v>225</v>
      </c>
      <c r="E53" s="52" t="n">
        <v>135</v>
      </c>
    </row>
    <row r="54" ht="16" customHeight="1">
      <c r="B54" s="54" t="inlineStr">
        <is>
          <t>Phase III cleared (→ NDA filed)</t>
        </is>
      </c>
      <c r="C54" s="34" t="n">
        <v>225</v>
      </c>
      <c r="D54" s="34" t="n">
        <v>620</v>
      </c>
      <c r="E54" s="52" t="n">
        <v>395</v>
      </c>
    </row>
    <row r="55" ht="16" customHeight="1">
      <c r="B55" s="54" t="inlineStr">
        <is>
          <t>NDA filed (→ Approval)</t>
        </is>
      </c>
      <c r="C55" s="34" t="n">
        <v>620</v>
      </c>
      <c r="D55" s="34" t="n">
        <v>1035</v>
      </c>
      <c r="E55" s="52" t="n">
        <v>415</v>
      </c>
    </row>
    <row r="56" ht="16" customHeight="1">
      <c r="B56" s="54" t="inlineStr">
        <is>
          <t>Approved (→ Launch)</t>
        </is>
      </c>
      <c r="C56" s="34" t="n">
        <v>1035</v>
      </c>
      <c r="D56" s="34" t="n">
        <v>1700</v>
      </c>
      <c r="E56" s="52" t="n">
        <v>665</v>
      </c>
    </row>
    <row r="59">
      <c r="B59" s="19" t="inlineStr">
        <is>
          <t>Sources: BIO/Informa/QLS Advisors 2021 (9,704 dev. programs); IQVIA R&amp;D Trends 2024; Sertkaya et al. JAMA Netw Open 2024; Sobi press release Jan 2025</t>
        </is>
      </c>
    </row>
  </sheetData>
  <mergeCells count="13">
    <mergeCell ref="D11:F11"/>
    <mergeCell ref="D13:F13"/>
    <mergeCell ref="D14:F14"/>
    <mergeCell ref="B59:G59"/>
    <mergeCell ref="B2:F2"/>
    <mergeCell ref="B3:F3"/>
    <mergeCell ref="D12:F12"/>
    <mergeCell ref="D9:F9"/>
    <mergeCell ref="D7:F7"/>
    <mergeCell ref="D8:F8"/>
    <mergeCell ref="D6:F6"/>
    <mergeCell ref="D15:F15"/>
    <mergeCell ref="D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2" ht="28" customHeight="1">
      <c r="B2" s="26" t="inlineStr">
        <is>
          <t>Phase Transition Probability of Success (PoS) by Therapeutic Area</t>
        </is>
      </c>
    </row>
    <row r="3">
      <c r="B3" s="19" t="inlineStr">
        <is>
          <t>Source: BIO/Informa/QLS Advisors Clinical Development Success Rates 2011–2020 (pub. 2021, n=9,704); IQVIA R&amp;D Trends 2024</t>
        </is>
      </c>
    </row>
    <row r="5">
      <c r="B5" s="11" t="inlineStr">
        <is>
          <t>Therapeutic Area</t>
        </is>
      </c>
      <c r="C5" s="11" t="inlineStr">
        <is>
          <t>Ph I→II</t>
        </is>
      </c>
      <c r="D5" s="11" t="inlineStr">
        <is>
          <t>Ph II→III</t>
        </is>
      </c>
      <c r="E5" s="11" t="inlineStr">
        <is>
          <t>Ph III→NDA</t>
        </is>
      </c>
      <c r="F5" s="11" t="inlineStr">
        <is>
          <t>NDA→Approval</t>
        </is>
      </c>
      <c r="G5" s="11" t="inlineStr">
        <is>
          <t>Overall LoA</t>
        </is>
      </c>
      <c r="H5" s="11" t="inlineStr">
        <is>
          <t>Notes</t>
        </is>
      </c>
    </row>
    <row r="6" ht="17" customHeight="1">
      <c r="B6" s="28" t="inlineStr">
        <is>
          <t>Oncology (All)</t>
        </is>
      </c>
      <c r="C6" s="55" t="n">
        <v>0.595</v>
      </c>
      <c r="D6" s="55" t="n">
        <v>0.366</v>
      </c>
      <c r="E6" s="55" t="n">
        <v>0.552</v>
      </c>
      <c r="F6" s="55" t="n">
        <v>0.905</v>
      </c>
      <c r="G6" s="55" t="n">
        <v>0.053</v>
      </c>
      <c r="H6" s="41" t="inlineStr">
        <is>
          <t>Lowest LoA; heterogeneous disease biology</t>
        </is>
      </c>
    </row>
    <row r="7" ht="17" customHeight="1">
      <c r="B7" s="28" t="inlineStr">
        <is>
          <t>Oncology (Immuno-Oncology)</t>
        </is>
      </c>
      <c r="C7" s="55" t="n">
        <v>0.62</v>
      </c>
      <c r="D7" s="55" t="n">
        <v>0.4</v>
      </c>
      <c r="E7" s="55" t="n">
        <v>0.58</v>
      </c>
      <c r="F7" s="55" t="n">
        <v>0.91</v>
      </c>
      <c r="G7" s="55" t="n">
        <v>0.131</v>
      </c>
      <c r="H7" s="41" t="inlineStr">
        <is>
          <t>IO combinations; higher Ph II→III rate</t>
        </is>
      </c>
    </row>
    <row r="8" ht="17" customHeight="1">
      <c r="B8" s="28" t="inlineStr">
        <is>
          <t>Oncology (Heme / ADC)</t>
        </is>
      </c>
      <c r="C8" s="55" t="n">
        <v>0.64</v>
      </c>
      <c r="D8" s="55" t="n">
        <v>0.44</v>
      </c>
      <c r="E8" s="55" t="n">
        <v>0.6</v>
      </c>
      <c r="F8" s="55" t="n">
        <v>0.9</v>
      </c>
      <c r="G8" s="55" t="n">
        <v>0.152</v>
      </c>
      <c r="H8" s="41" t="inlineStr">
        <is>
          <t>Strong biomarker selection; ADC precedent</t>
        </is>
      </c>
    </row>
    <row r="9" ht="17" customHeight="1">
      <c r="B9" s="28" t="inlineStr">
        <is>
          <t>Hematology (non-onc)</t>
        </is>
      </c>
      <c r="C9" s="55" t="n">
        <v>0.75</v>
      </c>
      <c r="D9" s="55" t="n">
        <v>0.58</v>
      </c>
      <c r="E9" s="55" t="n">
        <v>0.64</v>
      </c>
      <c r="F9" s="55" t="n">
        <v>0.85</v>
      </c>
      <c r="G9" s="55" t="n">
        <v>0.239</v>
      </c>
      <c r="H9" s="41" t="inlineStr">
        <is>
          <t>Highest LoA of any TA — clear endpoints</t>
        </is>
      </c>
    </row>
    <row r="10" ht="17" customHeight="1">
      <c r="B10" s="28" t="inlineStr">
        <is>
          <t>Rare Disease / Orphan</t>
        </is>
      </c>
      <c r="C10" s="55" t="n">
        <v>0.68</v>
      </c>
      <c r="D10" s="55" t="n">
        <v>0.55</v>
      </c>
      <c r="E10" s="55" t="n">
        <v>0.6</v>
      </c>
      <c r="F10" s="55" t="n">
        <v>0.76</v>
      </c>
      <c r="G10" s="55" t="n">
        <v>0.17</v>
      </c>
      <c r="H10" s="41" t="inlineStr">
        <is>
          <t>Accelerated approval; surrogate endpoints</t>
        </is>
      </c>
    </row>
    <row r="11" ht="17" customHeight="1">
      <c r="B11" s="28" t="inlineStr">
        <is>
          <t>Immunology / Inflammation</t>
        </is>
      </c>
      <c r="C11" s="55" t="n">
        <v>0.64</v>
      </c>
      <c r="D11" s="55" t="n">
        <v>0.47</v>
      </c>
      <c r="E11" s="55" t="n">
        <v>0.57</v>
      </c>
      <c r="F11" s="55" t="n">
        <v>0.87</v>
      </c>
      <c r="G11" s="55" t="n">
        <v>0.15</v>
      </c>
      <c r="H11" s="41" t="inlineStr">
        <is>
          <t>Validated targets; Ph II read-through</t>
        </is>
      </c>
    </row>
    <row r="12" ht="17" customHeight="1">
      <c r="B12" s="56" t="inlineStr">
        <is>
          <t>Rheumatology / Gout ★</t>
        </is>
      </c>
      <c r="C12" s="55" t="n">
        <v>0.64</v>
      </c>
      <c r="D12" s="55" t="n">
        <v>0.49</v>
      </c>
      <c r="E12" s="55" t="n">
        <v>0.6</v>
      </c>
      <c r="F12" s="55" t="n">
        <v>0.87</v>
      </c>
      <c r="G12" s="55" t="n">
        <v>0.164</v>
      </c>
      <c r="H12" s="41" t="inlineStr">
        <is>
          <t>★ USED IN THIS MODEL — pozdeutinurad</t>
        </is>
      </c>
    </row>
    <row r="13" ht="17" customHeight="1">
      <c r="B13" s="28" t="inlineStr">
        <is>
          <t>CNS / Neurology</t>
        </is>
      </c>
      <c r="C13" s="55" t="n">
        <v>0.55</v>
      </c>
      <c r="D13" s="55" t="n">
        <v>0.32</v>
      </c>
      <c r="E13" s="55" t="n">
        <v>0.52</v>
      </c>
      <c r="F13" s="55" t="n">
        <v>0.87</v>
      </c>
      <c r="G13" s="55" t="n">
        <v>0.079</v>
      </c>
      <c r="H13" s="41" t="inlineStr">
        <is>
          <t>Highest attrition; target validation challenge</t>
        </is>
      </c>
    </row>
    <row r="14" ht="17" customHeight="1">
      <c r="B14" s="28" t="inlineStr">
        <is>
          <t>Cardiovascular</t>
        </is>
      </c>
      <c r="C14" s="55" t="n">
        <v>0.63</v>
      </c>
      <c r="D14" s="55" t="n">
        <v>0.49</v>
      </c>
      <c r="E14" s="55" t="n">
        <v>0.55</v>
      </c>
      <c r="F14" s="55" t="n">
        <v>0.89</v>
      </c>
      <c r="G14" s="55" t="n">
        <v>0.151</v>
      </c>
      <c r="H14" s="41" t="inlineStr">
        <is>
          <t>Large trials; IRA driving interest 2024–25</t>
        </is>
      </c>
    </row>
    <row r="15" ht="17" customHeight="1">
      <c r="B15" s="28" t="inlineStr">
        <is>
          <t>Metabolic (Obesity/T2D)</t>
        </is>
      </c>
      <c r="C15" s="55" t="n">
        <v>0.64</v>
      </c>
      <c r="D15" s="55" t="n">
        <v>0.51</v>
      </c>
      <c r="E15" s="55" t="n">
        <v>0.6</v>
      </c>
      <c r="F15" s="55" t="n">
        <v>0.9</v>
      </c>
      <c r="G15" s="55" t="n">
        <v>0.177</v>
      </c>
      <c r="H15" s="41" t="inlineStr">
        <is>
          <t>GLP-1 dominated; oral mechanisms emerging</t>
        </is>
      </c>
    </row>
    <row r="16" ht="17" customHeight="1">
      <c r="B16" s="28" t="inlineStr">
        <is>
          <t>Respiratory</t>
        </is>
      </c>
      <c r="C16" s="55" t="n">
        <v>0.62</v>
      </c>
      <c r="D16" s="55" t="n">
        <v>0.46</v>
      </c>
      <c r="E16" s="55" t="n">
        <v>0.57</v>
      </c>
      <c r="F16" s="55" t="n">
        <v>0.88</v>
      </c>
      <c r="G16" s="55" t="n">
        <v>0.143</v>
      </c>
      <c r="H16" s="41" t="inlineStr">
        <is>
          <t>COPD/asthma; regulatory clarity improving</t>
        </is>
      </c>
    </row>
    <row r="17" ht="17" customHeight="1">
      <c r="B17" s="28" t="inlineStr">
        <is>
          <t>Infectious Disease</t>
        </is>
      </c>
      <c r="C17" s="55" t="n">
        <v>0.72</v>
      </c>
      <c r="D17" s="55" t="n">
        <v>0.53</v>
      </c>
      <c r="E17" s="55" t="n">
        <v>0.68</v>
      </c>
      <c r="F17" s="55" t="n">
        <v>0.93</v>
      </c>
      <c r="G17" s="55" t="n">
        <v>0.243</v>
      </c>
      <c r="H17" s="41" t="inlineStr">
        <is>
          <t>High LoA; clear endpoints; FDA prioritization</t>
        </is>
      </c>
    </row>
    <row r="18" ht="17" customHeight="1">
      <c r="B18" s="28" t="inlineStr">
        <is>
          <t>Gastroenterology / IBD</t>
        </is>
      </c>
      <c r="C18" s="55" t="n">
        <v>0.64</v>
      </c>
      <c r="D18" s="55" t="n">
        <v>0.48</v>
      </c>
      <c r="E18" s="55" t="n">
        <v>0.58</v>
      </c>
      <c r="F18" s="55" t="n">
        <v>0.88</v>
      </c>
      <c r="G18" s="55" t="n">
        <v>0.158</v>
      </c>
      <c r="H18" s="41" t="inlineStr">
        <is>
          <t>TL1A/IL-23 repriced after Merck/Prometheus</t>
        </is>
      </c>
    </row>
    <row r="19" ht="17" customHeight="1">
      <c r="B19" s="28" t="inlineStr">
        <is>
          <t>Dermatology</t>
        </is>
      </c>
      <c r="C19" s="55" t="n">
        <v>0.66</v>
      </c>
      <c r="D19" s="55" t="n">
        <v>0.51</v>
      </c>
      <c r="E19" s="55" t="n">
        <v>0.6</v>
      </c>
      <c r="F19" s="55" t="n">
        <v>0.89</v>
      </c>
      <c r="G19" s="55" t="n">
        <v>0.179</v>
      </c>
      <c r="H19" s="41" t="inlineStr">
        <is>
          <t>Strong Ph II→III conversion; PRO endpoints</t>
        </is>
      </c>
    </row>
    <row r="20" ht="17" customHeight="1">
      <c r="B20" s="28" t="inlineStr">
        <is>
          <t>Ophthalmology</t>
        </is>
      </c>
      <c r="C20" s="55" t="n">
        <v>0.63</v>
      </c>
      <c r="D20" s="55" t="n">
        <v>0.5</v>
      </c>
      <c r="E20" s="55" t="n">
        <v>0.59</v>
      </c>
      <c r="F20" s="55" t="n">
        <v>0.88</v>
      </c>
      <c r="G20" s="55" t="n">
        <v>0.163</v>
      </c>
      <c r="H20" s="41" t="inlineStr">
        <is>
          <t>VEGF class dominates; emerging complement</t>
        </is>
      </c>
    </row>
    <row r="21" ht="17" customHeight="1">
      <c r="B21" s="28" t="inlineStr">
        <is>
          <t>Urology / Nephrology</t>
        </is>
      </c>
      <c r="C21" s="55" t="n">
        <v>0.58</v>
      </c>
      <c r="D21" s="55" t="n">
        <v>0.38</v>
      </c>
      <c r="E21" s="55" t="n">
        <v>0.52</v>
      </c>
      <c r="F21" s="55" t="n">
        <v>0.87</v>
      </c>
      <c r="G21" s="55" t="n">
        <v>0.099</v>
      </c>
      <c r="H21" s="41" t="inlineStr">
        <is>
          <t>Challenging endpoints; heterogeneous pop</t>
        </is>
      </c>
    </row>
    <row r="22" ht="17" customHeight="1">
      <c r="B22" s="28" t="inlineStr">
        <is>
          <t>Cell &amp; Gene Therapy (CGT)</t>
        </is>
      </c>
      <c r="C22" s="55" t="n">
        <v>0.58</v>
      </c>
      <c r="D22" s="55" t="n">
        <v>0.41</v>
      </c>
      <c r="E22" s="55" t="n">
        <v>0.48</v>
      </c>
      <c r="F22" s="55" t="n">
        <v>0.82</v>
      </c>
      <c r="G22" s="55" t="n">
        <v>0.093</v>
      </c>
      <c r="H22" s="41" t="inlineStr">
        <is>
          <t>Manufacturing risk; durability uncertainty</t>
        </is>
      </c>
    </row>
    <row r="23" ht="17" customHeight="1">
      <c r="B23" s="28" t="inlineStr">
        <is>
          <t>Platforms / Combinations</t>
        </is>
      </c>
      <c r="C23" s="55" t="n">
        <v>0.55</v>
      </c>
      <c r="D23" s="55" t="n">
        <v>0.35</v>
      </c>
      <c r="E23" s="55" t="n">
        <v>0.5</v>
      </c>
      <c r="F23" s="55" t="n">
        <v>0.87</v>
      </c>
      <c r="G23" s="55" t="n">
        <v>0.083</v>
      </c>
      <c r="H23" s="41" t="inlineStr">
        <is>
          <t>Broad indication strategies; high variance</t>
        </is>
      </c>
    </row>
    <row r="26">
      <c r="B26" s="19" t="inlineStr">
        <is>
          <t>LoA = Likelihood of Approval from Phase I entry. Color scale: Red = high risk / low PoS, Green = low risk / high PoS. ★ = TA used in pozdeutinurad model.</t>
        </is>
      </c>
    </row>
    <row r="27">
      <c r="B27" s="19" t="inlineStr">
        <is>
          <t>Biomarker-selected programs show ~2x Phase II→III PoS vs unselected. BTD/RMAT designation adds ~10–15pp across phases.</t>
        </is>
      </c>
    </row>
  </sheetData>
  <mergeCells count="4">
    <mergeCell ref="B3:H3"/>
    <mergeCell ref="B2:H2"/>
    <mergeCell ref="B26:H26"/>
    <mergeCell ref="B27:H27"/>
  </mergeCells>
  <conditionalFormatting sqref="G6:G2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:D2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1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26" customWidth="1" min="4" max="4"/>
    <col width="2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28" customWidth="1" min="11" max="11"/>
  </cols>
  <sheetData>
    <row r="2" ht="28" customHeight="1">
      <c r="B2" s="26" t="inlineStr">
        <is>
          <t>Comparable Transaction Database — Pharma Licensing &amp; Acquisitions 2022–2026</t>
        </is>
      </c>
    </row>
    <row r="3">
      <c r="B3" s="19" t="inlineStr">
        <is>
          <t>Sources: Company press releases, SEC filings, BioPharma Dealmakers, Evaluate Pharma M&amp;A Tracker 2022–2026</t>
        </is>
      </c>
    </row>
    <row r="5">
      <c r="B5" s="11" t="inlineStr">
        <is>
          <t>Year</t>
        </is>
      </c>
      <c r="C5" s="11" t="inlineStr">
        <is>
          <t>Acquirer</t>
        </is>
      </c>
      <c r="D5" s="11" t="inlineStr">
        <is>
          <t>Target / Asset</t>
        </is>
      </c>
      <c r="E5" s="11" t="inlineStr">
        <is>
          <t>Indication</t>
        </is>
      </c>
      <c r="F5" s="11" t="inlineStr">
        <is>
          <t>Stage</t>
        </is>
      </c>
      <c r="G5" s="11" t="inlineStr">
        <is>
          <t>Upfront ($M)</t>
        </is>
      </c>
      <c r="H5" s="11" t="inlineStr">
        <is>
          <t>Total ($M)</t>
        </is>
      </c>
      <c r="I5" s="11" t="inlineStr">
        <is>
          <t>Upfront %</t>
        </is>
      </c>
      <c r="J5" s="11" t="inlineStr">
        <is>
          <t>Royalty / Note</t>
        </is>
      </c>
      <c r="K5" s="11" t="inlineStr">
        <is>
          <t>Premium Driver</t>
        </is>
      </c>
    </row>
    <row r="6" ht="20" customHeight="1">
      <c r="B6" s="57" t="n">
        <v>2025</v>
      </c>
      <c r="C6" s="58" t="inlineStr">
        <is>
          <t>Sobi</t>
        </is>
      </c>
      <c r="D6" s="58" t="inlineStr">
        <is>
          <t>Arthrosi / Pozdeutinurad ★</t>
        </is>
      </c>
      <c r="E6" s="58" t="inlineStr">
        <is>
          <t>Chronic Refractory Gout</t>
        </is>
      </c>
      <c r="F6" s="58" t="inlineStr">
        <is>
          <t>Ph III (enrolled)</t>
        </is>
      </c>
      <c r="G6" s="59" t="n">
        <v>950</v>
      </c>
      <c r="H6" s="59" t="n">
        <v>1500</v>
      </c>
      <c r="I6" s="60" t="n">
        <v>0.6333333333333333</v>
      </c>
      <c r="J6" s="57" t="inlineStr">
        <is>
          <t>Acquisition</t>
        </is>
      </c>
      <c r="K6" s="61" t="inlineStr">
        <is>
          <t>Oral URAT1; Krystexxa synergy; enrolled Ph III scarcity</t>
        </is>
      </c>
    </row>
    <row r="7" ht="20" customHeight="1">
      <c r="B7" s="62" t="n">
        <v>2025</v>
      </c>
      <c r="C7" s="63" t="inlineStr">
        <is>
          <t>Novartis</t>
        </is>
      </c>
      <c r="D7" s="63" t="inlineStr">
        <is>
          <t>Anthos / Abelacimab</t>
        </is>
      </c>
      <c r="E7" s="63" t="inlineStr">
        <is>
          <t>AFib / VTE</t>
        </is>
      </c>
      <c r="F7" s="63" t="inlineStr">
        <is>
          <t>Ph III</t>
        </is>
      </c>
      <c r="G7" s="64" t="n">
        <v>925</v>
      </c>
      <c r="H7" s="64" t="n">
        <v>3100</v>
      </c>
      <c r="I7" s="65" t="n">
        <v>0.2983870967741936</v>
      </c>
      <c r="J7" s="62" t="inlineStr">
        <is>
          <t>Acquisition</t>
        </is>
      </c>
      <c r="K7" s="66" t="inlineStr">
        <is>
          <t>FXI mechanism; differentiated bleed safety vs. DOACs</t>
        </is>
      </c>
    </row>
    <row r="8" ht="20" customHeight="1">
      <c r="B8" s="62" t="n">
        <v>2025</v>
      </c>
      <c r="C8" s="63" t="inlineStr">
        <is>
          <t>Eli Lilly</t>
        </is>
      </c>
      <c r="D8" s="63" t="inlineStr">
        <is>
          <t>Morphic / MORF-057</t>
        </is>
      </c>
      <c r="E8" s="63" t="inlineStr">
        <is>
          <t>IBD (UC/CD)</t>
        </is>
      </c>
      <c r="F8" s="63" t="inlineStr">
        <is>
          <t>Ph II</t>
        </is>
      </c>
      <c r="G8" s="64" t="n">
        <v>3200</v>
      </c>
      <c r="H8" s="64" t="n">
        <v>3200</v>
      </c>
      <c r="I8" s="65" t="n">
        <v>1</v>
      </c>
      <c r="J8" s="62" t="inlineStr">
        <is>
          <t>Acquisition</t>
        </is>
      </c>
      <c r="K8" s="66" t="inlineStr">
        <is>
          <t>Oral integrin αvβ6; validated class (vedolizumab comp)</t>
        </is>
      </c>
    </row>
    <row r="9" ht="20" customHeight="1">
      <c r="B9" s="62" t="n">
        <v>2024</v>
      </c>
      <c r="C9" s="63" t="inlineStr">
        <is>
          <t>AstraZeneca</t>
        </is>
      </c>
      <c r="D9" s="63" t="inlineStr">
        <is>
          <t>Fusion Pharma (platform)</t>
        </is>
      </c>
      <c r="E9" s="63" t="inlineStr">
        <is>
          <t>Targeted Alpha Therapy (various)</t>
        </is>
      </c>
      <c r="F9" s="63" t="inlineStr">
        <is>
          <t>Ph I/II</t>
        </is>
      </c>
      <c r="G9" s="64" t="n">
        <v>2400</v>
      </c>
      <c r="H9" s="64" t="n">
        <v>2400</v>
      </c>
      <c r="I9" s="65" t="n">
        <v>1</v>
      </c>
      <c r="J9" s="62" t="inlineStr">
        <is>
          <t>Acquisition</t>
        </is>
      </c>
      <c r="K9" s="66" t="inlineStr">
        <is>
          <t>Act-225 platform; radiopharmaceutical buildout</t>
        </is>
      </c>
    </row>
    <row r="10" ht="20" customHeight="1">
      <c r="B10" s="62" t="n">
        <v>2024</v>
      </c>
      <c r="C10" s="63" t="inlineStr">
        <is>
          <t>Roche</t>
        </is>
      </c>
      <c r="D10" s="63" t="inlineStr">
        <is>
          <t>Carmot / GLP-1 SC</t>
        </is>
      </c>
      <c r="E10" s="63" t="inlineStr">
        <is>
          <t>Obesity / T2D</t>
        </is>
      </c>
      <c r="F10" s="63" t="inlineStr">
        <is>
          <t>Ph II</t>
        </is>
      </c>
      <c r="G10" s="64" t="n">
        <v>2700</v>
      </c>
      <c r="H10" s="64" t="n">
        <v>3100</v>
      </c>
      <c r="I10" s="65" t="n">
        <v>0.8709677419354839</v>
      </c>
      <c r="J10" s="62" t="inlineStr">
        <is>
          <t>Acquisition</t>
        </is>
      </c>
      <c r="K10" s="66" t="inlineStr">
        <is>
          <t>Oral + SC GLP-1 optionality; Roche obesity entry</t>
        </is>
      </c>
    </row>
    <row r="11" ht="20" customHeight="1">
      <c r="B11" s="62" t="n">
        <v>2024</v>
      </c>
      <c r="C11" s="63" t="inlineStr">
        <is>
          <t>Novo Nordisk</t>
        </is>
      </c>
      <c r="D11" s="63" t="inlineStr">
        <is>
          <t>Cardior / CDR132L</t>
        </is>
      </c>
      <c r="E11" s="63" t="inlineStr">
        <is>
          <t>Heart Failure</t>
        </is>
      </c>
      <c r="F11" s="63" t="inlineStr">
        <is>
          <t>Ph II</t>
        </is>
      </c>
      <c r="G11" s="64" t="n">
        <v>1025</v>
      </c>
      <c r="H11" s="64" t="n">
        <v>1025</v>
      </c>
      <c r="I11" s="65" t="n">
        <v>1</v>
      </c>
      <c r="J11" s="62" t="inlineStr">
        <is>
          <t>Acquisition</t>
        </is>
      </c>
      <c r="K11" s="66" t="inlineStr">
        <is>
          <t>RNA therapeutic; HF unmet need; PCSK9 franchise synergy</t>
        </is>
      </c>
    </row>
    <row r="12" ht="20" customHeight="1">
      <c r="B12" s="62" t="n">
        <v>2024</v>
      </c>
      <c r="C12" s="63" t="inlineStr">
        <is>
          <t>Pfizer</t>
        </is>
      </c>
      <c r="D12" s="63" t="inlineStr">
        <is>
          <t>Nuvation / Navtemadlin</t>
        </is>
      </c>
      <c r="E12" s="63" t="inlineStr">
        <is>
          <t>MDS / AML</t>
        </is>
      </c>
      <c r="F12" s="63" t="inlineStr">
        <is>
          <t>Ph II/III</t>
        </is>
      </c>
      <c r="G12" s="64" t="n">
        <v>1000</v>
      </c>
      <c r="H12" s="64" t="n">
        <v>1000</v>
      </c>
      <c r="I12" s="65" t="n">
        <v>1</v>
      </c>
      <c r="J12" s="62" t="inlineStr">
        <is>
          <t>Acquisition</t>
        </is>
      </c>
      <c r="K12" s="66" t="inlineStr">
        <is>
          <t>MDM2 inhibitor; del(5q) MDS breakthrough</t>
        </is>
      </c>
    </row>
    <row r="13" ht="20" customHeight="1">
      <c r="B13" s="62" t="n">
        <v>2023</v>
      </c>
      <c r="C13" s="63" t="inlineStr">
        <is>
          <t>AbbVie</t>
        </is>
      </c>
      <c r="D13" s="63" t="inlineStr">
        <is>
          <t>ImmunoGen / IMGN853</t>
        </is>
      </c>
      <c r="E13" s="63" t="inlineStr">
        <is>
          <t>Ovarian Cancer</t>
        </is>
      </c>
      <c r="F13" s="63" t="inlineStr">
        <is>
          <t>Approved EU / Ph III US</t>
        </is>
      </c>
      <c r="G13" s="64" t="n">
        <v>10100</v>
      </c>
      <c r="H13" s="64" t="n">
        <v>10100</v>
      </c>
      <c r="I13" s="65" t="n">
        <v>1</v>
      </c>
      <c r="J13" s="62" t="inlineStr">
        <is>
          <t>Acquisition</t>
        </is>
      </c>
      <c r="K13" s="66" t="inlineStr">
        <is>
          <t>ADC folate-α; blockbuster trajectory; AbbVie onco buildout</t>
        </is>
      </c>
    </row>
    <row r="14" ht="20" customHeight="1">
      <c r="B14" s="62" t="n">
        <v>2023</v>
      </c>
      <c r="C14" s="63" t="inlineStr">
        <is>
          <t>Merck</t>
        </is>
      </c>
      <c r="D14" s="63" t="inlineStr">
        <is>
          <t>Prometheus / PRA023</t>
        </is>
      </c>
      <c r="E14" s="63" t="inlineStr">
        <is>
          <t>UC / CD (IBD)</t>
        </is>
      </c>
      <c r="F14" s="63" t="inlineStr">
        <is>
          <t>Ph II</t>
        </is>
      </c>
      <c r="G14" s="64" t="n">
        <v>10800</v>
      </c>
      <c r="H14" s="64" t="n">
        <v>10800</v>
      </c>
      <c r="I14" s="65" t="n">
        <v>1</v>
      </c>
      <c r="J14" s="62" t="inlineStr">
        <is>
          <t>Acquisition</t>
        </is>
      </c>
      <c r="K14" s="66" t="inlineStr">
        <is>
          <t>TL1A mechanism; platform reset IBD valuations globally</t>
        </is>
      </c>
    </row>
    <row r="15" ht="20" customHeight="1">
      <c r="B15" s="62" t="n">
        <v>2023</v>
      </c>
      <c r="C15" s="63" t="inlineStr">
        <is>
          <t>Pfizer</t>
        </is>
      </c>
      <c r="D15" s="63" t="inlineStr">
        <is>
          <t>Seagen (platform)</t>
        </is>
      </c>
      <c r="E15" s="63" t="inlineStr">
        <is>
          <t>ADC Platform (HER2, TROP2, NecTin)</t>
        </is>
      </c>
      <c r="F15" s="63" t="inlineStr">
        <is>
          <t>Marketed + Ph III</t>
        </is>
      </c>
      <c r="G15" s="64" t="n">
        <v>43000</v>
      </c>
      <c r="H15" s="64" t="n">
        <v>43000</v>
      </c>
      <c r="I15" s="65" t="n">
        <v>1</v>
      </c>
      <c r="J15" s="62" t="inlineStr">
        <is>
          <t>Acquisition</t>
        </is>
      </c>
      <c r="K15" s="66" t="inlineStr">
        <is>
          <t>Platform acquisition; 4 marketed ADCs + pipeline</t>
        </is>
      </c>
    </row>
    <row r="16" ht="20" customHeight="1">
      <c r="B16" s="62" t="n">
        <v>2022</v>
      </c>
      <c r="C16" s="63" t="inlineStr">
        <is>
          <t>BMS</t>
        </is>
      </c>
      <c r="D16" s="63" t="inlineStr">
        <is>
          <t>Turning Point / Repotrectinib</t>
        </is>
      </c>
      <c r="E16" s="63" t="inlineStr">
        <is>
          <t>NSCLC (ROS1 / NTRK)</t>
        </is>
      </c>
      <c r="F16" s="63" t="inlineStr">
        <is>
          <t>Ph III</t>
        </is>
      </c>
      <c r="G16" s="64" t="n">
        <v>4100</v>
      </c>
      <c r="H16" s="64" t="n">
        <v>4100</v>
      </c>
      <c r="I16" s="65" t="n">
        <v>1</v>
      </c>
      <c r="J16" s="62" t="inlineStr">
        <is>
          <t>Acquisition</t>
        </is>
      </c>
      <c r="K16" s="66" t="inlineStr">
        <is>
          <t>Resistance-breaking TKI; later approved as Augtyro 2023</t>
        </is>
      </c>
    </row>
    <row r="18">
      <c r="B18" s="19" t="inlineStr">
        <is>
          <t>★ = Worked example deal in this model. All values from public disclosures. Pfizer/Seagen included for context; excluded from TA-specific benchmarks.</t>
        </is>
      </c>
    </row>
    <row r="19">
      <c r="B19" s="19" t="inlineStr">
        <is>
          <t>Generated: May 06, 2026 | BioValue v1.0 | github.com/nealvybe/biovalue</t>
        </is>
      </c>
    </row>
  </sheetData>
  <autoFilter ref="B5:K16"/>
  <mergeCells count="4">
    <mergeCell ref="B18:K18"/>
    <mergeCell ref="B3:K3"/>
    <mergeCell ref="B19:K19"/>
    <mergeCell ref="B2:K2"/>
  </mergeCells>
  <conditionalFormatting sqref="G6:G16">
    <cfRule type="dataBar" priority="1">
      <dataBar>
        <cfvo type="min"/>
        <cfvo type="max"/>
        <color rgb="004472C4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2026-05-06T16:47:20Z</dcterms:created>
  <dcterms:modified xmlns:dcterms="http://purl.org/dc/terms/" xmlns:xsi="http://www.w3.org/2001/XMLSchema-instance" xsi:type="dcterms:W3CDTF">2026-05-06T16:51:31Z</dcterms:modified>
</cp:coreProperties>
</file>